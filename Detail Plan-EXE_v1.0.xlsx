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_EXE201" sheetId="1" state="visible" r:id="rId1"/>
    <sheet xmlns:r="http://schemas.openxmlformats.org/officeDocument/2006/relationships" name="WBS_ChuHoKinhDoanh" sheetId="2" state="visible" r:id="rId2"/>
    <sheet xmlns:r="http://schemas.openxmlformats.org/officeDocument/2006/relationships" name="WBS_HocSinhSinhVien" sheetId="3" state="visible" r:id="rId3"/>
    <sheet xmlns:r="http://schemas.openxmlformats.org/officeDocument/2006/relationships" name="Trang tính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/mm/yyyy"/>
    <numFmt numFmtId="166" formatCode="d.m"/>
    <numFmt numFmtId="167" formatCode="d.m.yy"/>
  </numFmts>
  <fonts count="15">
    <font>
      <name val="Arial"/>
      <color rgb="FF000000"/>
      <sz val="10"/>
      <scheme val="minor"/>
    </font>
    <font>
      <name val="Arial"/>
      <b val="1"/>
      <color rgb="FFFFFFFF"/>
      <sz val="13"/>
      <scheme val="minor"/>
    </font>
    <font>
      <name val="Arial"/>
      <b val="1"/>
      <color rgb="FF193359"/>
      <sz val="9"/>
      <scheme val="minor"/>
    </font>
    <font/>
    <font>
      <name val="Arial"/>
      <b val="1"/>
      <color rgb="FF0C3F8C"/>
      <sz val="15"/>
      <scheme val="minor"/>
    </font>
    <font>
      <name val="Arial"/>
      <color theme="1"/>
      <scheme val="minor"/>
    </font>
    <font>
      <name val="Arial"/>
      <b val="1"/>
      <color rgb="FFFFFFFF"/>
      <sz val="10"/>
      <scheme val="minor"/>
    </font>
    <font>
      <name val="Arial"/>
      <b val="1"/>
      <color theme="1"/>
      <scheme val="minor"/>
    </font>
    <font>
      <name val="Roboto"/>
      <b val="1"/>
      <color rgb="FFFFFFFF"/>
      <sz val="10"/>
    </font>
    <font>
      <name val="Arial"/>
      <i val="1"/>
      <color theme="1"/>
      <scheme val="minor"/>
    </font>
    <font>
      <name val="Roboto"/>
      <color theme="1"/>
      <sz val="10"/>
    </font>
    <font>
      <name val="Arial"/>
      <b val="1"/>
      <color rgb="FF133E8B"/>
      <sz val="10"/>
      <scheme val="minor"/>
    </font>
    <font>
      <name val="Roboto"/>
      <color rgb="FF000000"/>
      <sz val="10"/>
    </font>
    <font>
      <name val="Arial"/>
      <b val="1"/>
      <color rgb="FFCC0000"/>
      <sz val="10"/>
      <scheme val="minor"/>
    </font>
    <font>
      <name val="Roboto"/>
      <b val="1"/>
      <color rgb="FF193359"/>
      <sz val="10"/>
    </font>
  </fonts>
  <fills count="10">
    <fill>
      <patternFill/>
    </fill>
    <fill>
      <patternFill patternType="lightGray"/>
    </fill>
    <fill>
      <patternFill patternType="solid">
        <fgColor rgb="FF144793"/>
        <bgColor rgb="FF144793"/>
      </patternFill>
    </fill>
    <fill>
      <patternFill patternType="solid">
        <fgColor rgb="FFEDF2F9"/>
        <bgColor rgb="FFEDF2F9"/>
      </patternFill>
    </fill>
    <fill>
      <patternFill patternType="solid">
        <fgColor rgb="FFF9FCFF"/>
        <bgColor rgb="FFF9FCFF"/>
      </patternFill>
    </fill>
    <fill>
      <patternFill patternType="solid">
        <fgColor rgb="FF1E59A5"/>
        <bgColor rgb="FF1E59A5"/>
      </patternFill>
    </fill>
    <fill>
      <patternFill patternType="solid">
        <fgColor rgb="FF253E66"/>
        <bgColor rgb="FF253E66"/>
      </patternFill>
    </fill>
    <fill>
      <patternFill patternType="solid">
        <fgColor rgb="FFE4ECF8"/>
        <bgColor rgb="FFE4ECF8"/>
      </patternFill>
    </fill>
    <fill>
      <patternFill patternType="solid">
        <fgColor rgb="FFFFFFFF"/>
        <bgColor rgb="FFFFFFFF"/>
      </patternFill>
    </fill>
    <fill>
      <patternFill patternType="solid">
        <fgColor rgb="FFFFE4E4"/>
        <bgColor rgb="FFFFE4E4"/>
      </patternFill>
    </fill>
  </fills>
  <borders count="22">
    <border/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top style="thin">
        <color rgb="FFD8D8D8"/>
      </top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7F7F7F"/>
      </top>
      <bottom style="medium">
        <color rgb="FF1E59A5"/>
      </bottom>
    </border>
    <border>
      <left>
        <color rgb="FFDFDFDF"/>
      </left>
      <right>
        <color rgb="FFDFDFDF"/>
      </right>
      <top>
        <color rgb="FFDFDFDF"/>
      </top>
      <bottom>
        <color rgb="FFDFDFDF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pivotButton="0" quotePrefix="0" xfId="0"/>
    <xf numFmtId="3" fontId="4" fillId="4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5" pivotButton="0" quotePrefix="0" xfId="0"/>
    <xf numFmtId="3" fontId="4" fillId="4" borderId="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64" fontId="4" fillId="4" borderId="6" applyAlignment="1" pivotButton="0" quotePrefix="0" xfId="0">
      <alignment horizontal="center" vertical="center"/>
    </xf>
    <xf numFmtId="0" fontId="3" fillId="0" borderId="6" pivotButton="0" quotePrefix="0" xfId="0"/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6" fillId="5" borderId="9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8" fillId="5" borderId="10" applyAlignment="1" pivotButton="0" quotePrefix="0" xfId="0">
      <alignment horizontal="center" vertical="center"/>
    </xf>
    <xf numFmtId="9" fontId="5" fillId="0" borderId="0" pivotButton="0" quotePrefix="0" xfId="0"/>
    <xf numFmtId="0" fontId="6" fillId="6" borderId="11" applyAlignment="1" pivotButton="0" quotePrefix="0" xfId="0">
      <alignment horizontal="center" vertical="center"/>
    </xf>
    <xf numFmtId="0" fontId="6" fillId="6" borderId="11" applyAlignment="1" pivotButton="0" quotePrefix="0" xfId="0">
      <alignment horizontal="left" vertical="center" wrapText="1"/>
    </xf>
    <xf numFmtId="165" fontId="6" fillId="6" borderId="11" applyAlignment="1" pivotButton="0" quotePrefix="0" xfId="0">
      <alignment horizontal="center" vertical="center"/>
    </xf>
    <xf numFmtId="10" fontId="5" fillId="0" borderId="0" applyAlignment="1" pivotButton="0" quotePrefix="0" xfId="0">
      <alignment vertical="center"/>
    </xf>
    <xf numFmtId="0" fontId="9" fillId="0" borderId="0" pivotButton="0" quotePrefix="0" xfId="0"/>
    <xf numFmtId="164" fontId="6" fillId="6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3" fontId="10" fillId="0" borderId="12" applyAlignment="1" pivotButton="0" quotePrefix="0" xfId="0">
      <alignment horizontal="right" vertical="center"/>
    </xf>
    <xf numFmtId="164" fontId="10" fillId="0" borderId="12" applyAlignment="1" pivotButton="0" quotePrefix="0" xfId="0">
      <alignment horizontal="right" vertical="center"/>
    </xf>
    <xf numFmtId="166" fontId="11" fillId="7" borderId="11" applyAlignment="1" pivotButton="0" quotePrefix="0" xfId="0">
      <alignment horizontal="center" vertical="center"/>
    </xf>
    <xf numFmtId="0" fontId="11" fillId="7" borderId="11" applyAlignment="1" pivotButton="0" quotePrefix="0" xfId="0">
      <alignment horizontal="left" vertical="center" wrapText="1"/>
    </xf>
    <xf numFmtId="0" fontId="11" fillId="7" borderId="11" applyAlignment="1" pivotButton="0" quotePrefix="0" xfId="0">
      <alignment horizontal="center" vertical="center"/>
    </xf>
    <xf numFmtId="165" fontId="11" fillId="7" borderId="11" applyAlignment="1" pivotButton="0" quotePrefix="0" xfId="0">
      <alignment horizontal="center" vertical="center"/>
    </xf>
    <xf numFmtId="164" fontId="11" fillId="7" borderId="11" applyAlignment="1" pivotButton="0" quotePrefix="0" xfId="0">
      <alignment horizontal="center" vertical="center"/>
    </xf>
    <xf numFmtId="167" fontId="12" fillId="8" borderId="11" applyAlignment="1" pivotButton="0" quotePrefix="0" xfId="0">
      <alignment horizontal="center" vertical="center"/>
    </xf>
    <xf numFmtId="0" fontId="12" fillId="8" borderId="11" applyAlignment="1" pivotButton="0" quotePrefix="0" xfId="0">
      <alignment horizontal="left" vertical="center" wrapText="1"/>
    </xf>
    <xf numFmtId="0" fontId="12" fillId="8" borderId="11" applyAlignment="1" pivotButton="0" quotePrefix="0" xfId="0">
      <alignment horizontal="center" vertical="center"/>
    </xf>
    <xf numFmtId="165" fontId="12" fillId="8" borderId="11" applyAlignment="1" pivotButton="0" quotePrefix="0" xfId="0">
      <alignment horizontal="center" vertical="center"/>
    </xf>
    <xf numFmtId="164" fontId="12" fillId="8" borderId="11" applyAlignment="1" pivotButton="0" quotePrefix="0" xfId="0">
      <alignment horizontal="center" vertical="center"/>
    </xf>
    <xf numFmtId="167" fontId="13" fillId="9" borderId="11" applyAlignment="1" pivotButton="0" quotePrefix="0" xfId="0">
      <alignment horizontal="center" vertical="center"/>
    </xf>
    <xf numFmtId="0" fontId="13" fillId="9" borderId="11" applyAlignment="1" pivotButton="0" quotePrefix="0" xfId="0">
      <alignment horizontal="left" vertical="center" wrapText="1"/>
    </xf>
    <xf numFmtId="0" fontId="13" fillId="9" borderId="11" applyAlignment="1" pivotButton="0" quotePrefix="0" xfId="0">
      <alignment horizontal="center" vertical="center"/>
    </xf>
    <xf numFmtId="165" fontId="13" fillId="9" borderId="11" applyAlignment="1" pivotButton="0" quotePrefix="0" xfId="0">
      <alignment horizontal="center" vertical="center"/>
    </xf>
    <xf numFmtId="164" fontId="13" fillId="9" borderId="11" applyAlignment="1" pivotButton="0" quotePrefix="0" xfId="0">
      <alignment horizontal="center" vertical="center"/>
    </xf>
    <xf numFmtId="166" fontId="13" fillId="9" borderId="11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 vertical="center"/>
    </xf>
    <xf numFmtId="3" fontId="14" fillId="3" borderId="13" applyAlignment="1" pivotButton="0" quotePrefix="0" xfId="0">
      <alignment horizontal="right" vertical="center"/>
    </xf>
    <xf numFmtId="164" fontId="14" fillId="3" borderId="13" applyAlignment="1" pivotButton="0" quotePrefix="0" xfId="0">
      <alignment horizontal="right" vertical="center"/>
    </xf>
    <xf numFmtId="167" fontId="0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left" vertical="center" wrapText="1"/>
    </xf>
    <xf numFmtId="0" fontId="0" fillId="8" borderId="11" applyAlignment="1" pivotButton="0" quotePrefix="0" xfId="0">
      <alignment horizontal="center" vertical="center"/>
    </xf>
    <xf numFmtId="165" fontId="0" fillId="8" borderId="11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0" fontId="12" fillId="8" borderId="14" applyAlignment="1" pivotButton="0" quotePrefix="0" xfId="0">
      <alignment horizontal="center" vertical="center"/>
    </xf>
    <xf numFmtId="0" fontId="12" fillId="8" borderId="14" applyAlignment="1" pivotButton="0" quotePrefix="0" xfId="0">
      <alignment horizontal="left" vertical="center" wrapText="1"/>
    </xf>
    <xf numFmtId="165" fontId="12" fillId="8" borderId="14" applyAlignment="1" pivotButton="0" quotePrefix="0" xfId="0">
      <alignment horizontal="center" vertical="center"/>
    </xf>
    <xf numFmtId="167" fontId="12" fillId="8" borderId="14" applyAlignment="1" pivotButton="0" quotePrefix="0" xfId="0">
      <alignment horizontal="center" vertical="center"/>
    </xf>
    <xf numFmtId="164" fontId="12" fillId="8" borderId="14" applyAlignment="1" pivotButton="0" quotePrefix="0" xfId="0">
      <alignment horizontal="center" vertical="center"/>
    </xf>
    <xf numFmtId="167" fontId="11" fillId="7" borderId="11" applyAlignment="1" pivotButton="0" quotePrefix="0" xfId="0">
      <alignment horizontal="center" vertical="center"/>
    </xf>
    <xf numFmtId="166" fontId="12" fillId="8" borderId="14" applyAlignment="1" pivotButton="0" quotePrefix="0" xfId="0">
      <alignment horizontal="center" vertical="center"/>
    </xf>
    <xf numFmtId="0" fontId="12" fillId="8" borderId="14" applyAlignment="1" pivotButton="0" quotePrefix="0" xfId="0">
      <alignment horizontal="center" vertical="center"/>
    </xf>
    <xf numFmtId="165" fontId="12" fillId="8" borderId="14" applyAlignment="1" pivotButton="0" quotePrefix="0" xfId="0">
      <alignment horizontal="center" vertical="center"/>
    </xf>
    <xf numFmtId="9" fontId="12" fillId="8" borderId="14" applyAlignment="1" pivotButton="0" quotePrefix="0" xfId="0">
      <alignment horizontal="center" vertical="center"/>
    </xf>
    <xf numFmtId="164" fontId="12" fillId="8" borderId="14" applyAlignment="1" pivotButton="0" quotePrefix="0" xfId="0">
      <alignment horizontal="center" vertical="center"/>
    </xf>
    <xf numFmtId="0" fontId="12" fillId="8" borderId="14" applyAlignment="1" pivotButton="0" quotePrefix="0" xfId="0">
      <alignment horizontal="left" vertical="center" wrapText="1"/>
    </xf>
    <xf numFmtId="9" fontId="12" fillId="8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2" applyAlignment="1" pivotButton="0" quotePrefix="0" xfId="0">
      <alignment vertical="center"/>
    </xf>
    <xf numFmtId="0" fontId="10" fillId="0" borderId="12" applyAlignment="1" pivotButton="0" quotePrefix="0" xfId="0">
      <alignment horizontal="center" vertical="center"/>
    </xf>
    <xf numFmtId="9" fontId="10" fillId="0" borderId="12" applyAlignment="1" pivotButton="0" quotePrefix="0" xfId="0">
      <alignment horizontal="center" vertical="center"/>
    </xf>
    <xf numFmtId="9" fontId="10" fillId="0" borderId="12" applyAlignment="1" pivotButton="0" quotePrefix="0" xfId="0">
      <alignment horizontal="center" vertical="center"/>
    </xf>
    <xf numFmtId="0" fontId="10" fillId="0" borderId="16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vertical="center"/>
    </xf>
    <xf numFmtId="0" fontId="10" fillId="0" borderId="18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9" fontId="10" fillId="0" borderId="18" applyAlignment="1" pivotButton="0" quotePrefix="0" xfId="0">
      <alignment horizontal="center" vertical="center"/>
    </xf>
    <xf numFmtId="0" fontId="10" fillId="0" borderId="19" applyAlignment="1" pivotButton="0" quotePrefix="0" xfId="0">
      <alignment vertical="center"/>
    </xf>
    <xf numFmtId="0" fontId="0" fillId="0" borderId="0" pivotButton="0" quotePrefix="0" xfId="0"/>
    <xf numFmtId="0" fontId="2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3" pivotButton="0" quotePrefix="0" xfId="0"/>
    <xf numFmtId="3" fontId="4" fillId="4" borderId="20" applyAlignment="1" pivotButton="0" quotePrefix="0" xfId="0">
      <alignment horizontal="center" vertical="center"/>
    </xf>
    <xf numFmtId="0" fontId="0" fillId="0" borderId="5" pivotButton="0" quotePrefix="0" xfId="0"/>
    <xf numFmtId="3" fontId="4" fillId="4" borderId="5" applyAlignment="1" pivotButton="0" quotePrefix="0" xfId="0">
      <alignment horizontal="center" vertical="center"/>
    </xf>
    <xf numFmtId="164" fontId="4" fillId="4" borderId="5" applyAlignment="1" pivotButton="0" quotePrefix="0" xfId="0">
      <alignment horizontal="center" vertical="center"/>
    </xf>
    <xf numFmtId="0" fontId="0" fillId="0" borderId="6" pivotButton="0" quotePrefix="0" xfId="0"/>
  </cellXfs>
  <cellStyles count="1">
    <cellStyle name="Normal" xfId="0" builtinId="0"/>
  </cellStyles>
  <dxfs count="10">
    <dxf>
      <font/>
      <fill>
        <patternFill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 val="1"/>
      </font>
      <fill>
        <patternFill patternType="solid">
          <fgColor rgb="FFF0F3F4"/>
          <bgColor rgb="FFF0F3F4"/>
        </patternFill>
      </fill>
      <border/>
    </dxf>
    <dxf>
      <font>
        <b val="1"/>
        <color rgb="FF794100"/>
      </font>
      <fill>
        <patternFill patternType="solid">
          <fgColor rgb="FFFDF7DF"/>
          <bgColor rgb="FFFDF7DF"/>
        </patternFill>
      </fill>
      <border/>
    </dxf>
    <dxf>
      <font>
        <b val="1"/>
        <color rgb="FF5B2C6E"/>
      </font>
      <fill>
        <patternFill patternType="solid">
          <fgColor rgb="FFF3E8FC"/>
          <bgColor rgb="FFF3E8FC"/>
        </patternFill>
      </fill>
      <border/>
    </dxf>
    <dxf>
      <font>
        <b val="1"/>
        <color rgb="FF137333"/>
      </font>
      <fill>
        <patternFill patternType="solid">
          <fgColor rgb="FFE6F4EA"/>
          <bgColor rgb="FFE6F4EA"/>
        </patternFill>
      </fill>
      <border/>
    </dxf>
    <dxf>
      <font>
        <b val="1"/>
        <color rgb="FF3B4043"/>
      </font>
      <fill>
        <patternFill patternType="solid">
          <fgColor rgb="FFE8EAEC"/>
          <bgColor rgb="FFE8EAEC"/>
        </patternFill>
      </fill>
      <border/>
    </dxf>
  </dxfs>
  <tableStyles count="1" defaultTableStyle="TableStyleMedium9" defaultPivotStyle="PivotStyleLight16">
    <tableStyle name="Trang tính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ảng_1" displayName="Bảng_1" ref="A1:C7" headerRowCount="1">
  <tableColumns count="3">
    <tableColumn id="1" name="Nhân sự"/>
    <tableColumn id="2" name="Số lượng task"/>
    <tableColumn id="3" name="Tỷ lệ (%)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7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9.5" customWidth="1" style="80" min="1" max="1"/>
    <col width="38.88" customWidth="1" style="80" min="2" max="2"/>
    <col width="65.5" customWidth="1" style="80" min="3" max="3"/>
    <col width="12.63" customWidth="1" style="80" min="4" max="4"/>
    <col width="13.63" customWidth="1" style="80" min="5" max="5"/>
    <col width="12" customWidth="1" style="80" min="6" max="6"/>
    <col width="13.25" customWidth="1" style="80" min="7" max="8"/>
    <col width="12" customWidth="1" style="80" min="9" max="10"/>
    <col width="47.88" customWidth="1" style="80" min="11" max="11"/>
    <col width="3.88" customWidth="1" style="80" min="12" max="12"/>
    <col width="16.38" customWidth="1" style="80" min="13" max="14"/>
    <col width="13.88" customWidth="1" style="80" min="15" max="15"/>
  </cols>
  <sheetData>
    <row r="1" ht="30" customHeight="1" s="80">
      <c r="A1" s="1" t="inlineStr">
        <is>
          <t>KẾ HOẠCH BÓC TÁCH WBS VÀ PHÂN BỔ CÔNG VIỆC DỰ ÁN EXE201</t>
        </is>
      </c>
    </row>
    <row r="2" ht="18" customHeight="1" s="80">
      <c r="A2" s="81" t="inlineStr">
        <is>
          <t>TỔNG SỐ ĐẦU VIỆC WBS</t>
        </is>
      </c>
      <c r="B2" s="82" t="n"/>
      <c r="C2" s="81" t="inlineStr">
        <is>
          <t>NHÓM TÍNH NĂNG CHÍNH</t>
        </is>
      </c>
      <c r="D2" s="82" t="n"/>
      <c r="E2" s="83" t="inlineStr">
        <is>
          <t>TÁC VỤ BA &amp; UI/UX</t>
        </is>
      </c>
      <c r="F2" s="82" t="n"/>
      <c r="G2" s="83" t="inlineStr">
        <is>
          <t>TÁC VỤ DEV (BE &amp; FE)</t>
        </is>
      </c>
      <c r="H2" s="82" t="n"/>
      <c r="I2" s="83" t="inlineStr">
        <is>
          <t>TIẾN ĐỘ TRUNG BÌNH</t>
        </is>
      </c>
      <c r="J2" s="84" t="n"/>
      <c r="K2" s="82" t="n"/>
    </row>
    <row r="3" ht="24" customHeight="1" s="80">
      <c r="A3" s="85" t="n">
        <v>138</v>
      </c>
      <c r="B3" s="86" t="n"/>
      <c r="C3" s="85" t="n">
        <v>32</v>
      </c>
      <c r="D3" s="86" t="n"/>
      <c r="E3" s="87" t="n">
        <v>64</v>
      </c>
      <c r="F3" s="86" t="n"/>
      <c r="G3" s="87" t="n">
        <v>74</v>
      </c>
      <c r="H3" s="86" t="n"/>
      <c r="I3" s="88">
        <f>(J5+J100)/2</f>
        <v/>
      </c>
      <c r="J3" s="89" t="n"/>
      <c r="K3" s="86" t="n"/>
    </row>
    <row r="4" ht="27" customHeight="1" s="80">
      <c r="A4" s="15" t="inlineStr">
        <is>
          <t>WBS</t>
        </is>
      </c>
      <c r="B4" s="16" t="inlineStr">
        <is>
          <t>Phân hệ / Nhóm tính năng</t>
        </is>
      </c>
      <c r="C4" s="16" t="inlineStr">
        <is>
          <t>Đầu việc &amp; Hạng mục chi tiết</t>
        </is>
      </c>
      <c r="D4" s="16" t="inlineStr">
        <is>
          <t>Phân loại công việc (Role)</t>
        </is>
      </c>
      <c r="E4" s="16" t="inlineStr">
        <is>
          <t>Phụ trách (Resource)</t>
        </is>
      </c>
      <c r="F4" s="16" t="inlineStr">
        <is>
          <t>Thời lượng (Duration)</t>
        </is>
      </c>
      <c r="G4" s="16" t="inlineStr">
        <is>
          <t>Bắt đầu (Start)</t>
        </is>
      </c>
      <c r="H4" s="16" t="inlineStr">
        <is>
          <t>Kết thúc (Finish)</t>
        </is>
      </c>
      <c r="I4" s="16" t="inlineStr">
        <is>
          <t>Phụ thuộc (Predecessor)</t>
        </is>
      </c>
      <c r="J4" s="18" t="inlineStr">
        <is>
          <t>Tiến độ (% Complete)</t>
        </is>
      </c>
      <c r="K4" s="19" t="inlineStr">
        <is>
          <t>Ghi chú</t>
        </is>
      </c>
      <c r="M4" s="20" t="n"/>
      <c r="N4" s="20" t="n"/>
      <c r="O4" s="20" t="n"/>
    </row>
    <row r="5">
      <c r="A5" s="22" t="n">
        <v>1</v>
      </c>
      <c r="B5" s="23" t="inlineStr">
        <is>
          <t>PHÂN HỆ CHỦ HỘ KINH DOANH / NHÀ TUYỂN DỤNG</t>
        </is>
      </c>
      <c r="C5" s="23" t="inlineStr">
        <is>
          <t>Toàn bộ tính năng phục vụ công tác tuyển dụng của Chủ hộ kinh doanh</t>
        </is>
      </c>
      <c r="D5" s="22" t="inlineStr">
        <is>
          <t>Quản lý chung</t>
        </is>
      </c>
      <c r="E5" s="22" t="n"/>
      <c r="F5" s="22" t="inlineStr">
        <is>
          <t>55 ngày</t>
        </is>
      </c>
      <c r="G5" s="24" t="n">
        <v>46279</v>
      </c>
      <c r="H5" s="24" t="n">
        <v>46333</v>
      </c>
      <c r="I5" s="22" t="inlineStr">
        <is>
          <t>-</t>
        </is>
      </c>
      <c r="J5" s="27">
        <f>(J6+J27+J48+J74)/4</f>
        <v/>
      </c>
      <c r="K5" s="23" t="inlineStr">
        <is>
          <t>15 nhóm tính năng CHKD (theo SRS)</t>
        </is>
      </c>
      <c r="M5" s="70" t="n"/>
      <c r="N5" s="29" t="n"/>
      <c r="O5" s="30" t="n"/>
    </row>
    <row r="6">
      <c r="A6" s="31" t="n">
        <v>46023</v>
      </c>
      <c r="B6" s="32" t="inlineStr">
        <is>
          <t>GIAI ĐOẠN 1 (W2-W5): PHÂN TÍCH NGHIỆP VỤ &amp; TÀI LIỆU SRS (BA - CHECKPOINT 1)</t>
        </is>
      </c>
      <c r="C6" s="32" t="inlineStr">
        <is>
          <t>Hoàn thiện toàn bộ đặc tả yêu cầu, quy trình nghiệp vụ &amp; hồ sơ Checkpoint 1 (W5)</t>
        </is>
      </c>
      <c r="D6" s="33" t="n"/>
      <c r="E6" s="33" t="n"/>
      <c r="F6" s="33" t="inlineStr">
        <is>
          <t>21 ngày</t>
        </is>
      </c>
      <c r="G6" s="34" t="n">
        <v>46279</v>
      </c>
      <c r="H6" s="34" t="n">
        <v>46299</v>
      </c>
      <c r="I6" s="33" t="inlineStr">
        <is>
          <t>-</t>
        </is>
      </c>
      <c r="J6" s="35">
        <f>AVERAGE(J7:J23)</f>
        <v/>
      </c>
      <c r="K6" s="32" t="inlineStr">
        <is>
          <t>17 đầu việc BA - Đạt mốc Checkpoint 1 (W5)</t>
        </is>
      </c>
      <c r="M6" s="70" t="n"/>
      <c r="N6" s="29" t="n"/>
      <c r="O6" s="30" t="n"/>
    </row>
    <row r="7">
      <c r="A7" s="36" t="n">
        <v>36892</v>
      </c>
      <c r="B7" s="37" t="inlineStr">
        <is>
          <t>CH1: Đăng ký, Đăng nhập &amp; Xác minh CHKD</t>
        </is>
      </c>
      <c r="C7" s="37" t="inlineStr">
        <is>
          <t>Phân tích yêu cầu và viết tài liệu SRS xác thực tài khoản NTD</t>
        </is>
      </c>
      <c r="D7" s="38" t="inlineStr">
        <is>
          <t>BA</t>
        </is>
      </c>
      <c r="E7" s="38" t="inlineStr">
        <is>
          <t>Việt</t>
        </is>
      </c>
      <c r="F7" s="38" t="inlineStr">
        <is>
          <t>3 ngày</t>
        </is>
      </c>
      <c r="G7" s="39" t="n">
        <v>46279</v>
      </c>
      <c r="H7" s="39" t="n">
        <v>46281</v>
      </c>
      <c r="I7" s="38" t="inlineStr">
        <is>
          <t>-</t>
        </is>
      </c>
      <c r="J7" s="40" t="n">
        <v>0</v>
      </c>
      <c r="K7" s="37" t="inlineStr">
        <is>
          <t>SRS xác thực tài khoản NTD</t>
        </is>
      </c>
      <c r="M7" s="70" t="n"/>
      <c r="N7" s="29" t="n"/>
      <c r="O7" s="30" t="n"/>
    </row>
    <row r="8">
      <c r="A8" s="41" t="n">
        <v>42370</v>
      </c>
      <c r="B8" s="42" t="inlineStr">
        <is>
          <t>CH16: Trợ lý AI và quản lý tri thức</t>
        </is>
      </c>
      <c r="C8" s="42" t="inlineStr">
        <is>
          <t>Xây dựng SRS kiến trúc Trợ lý AI, cơ chế lưu trữ bộ nhớ ngữ cảnh và quản trị nguồn tri thức</t>
        </is>
      </c>
      <c r="D8" s="43" t="inlineStr">
        <is>
          <t>BA</t>
        </is>
      </c>
      <c r="E8" s="43" t="inlineStr">
        <is>
          <t>Việt</t>
        </is>
      </c>
      <c r="F8" s="43" t="inlineStr">
        <is>
          <t>5 ngày</t>
        </is>
      </c>
      <c r="G8" s="44" t="n">
        <v>46279</v>
      </c>
      <c r="H8" s="44" t="n">
        <v>46283</v>
      </c>
      <c r="I8" s="41" t="n">
        <v>36892</v>
      </c>
      <c r="J8" s="45" t="n">
        <v>0</v>
      </c>
      <c r="K8" s="42" t="inlineStr">
        <is>
          <t>Ưu tiên Demo W4 (T2 28/09)</t>
        </is>
      </c>
      <c r="M8" s="70" t="n"/>
      <c r="N8" s="29" t="n"/>
      <c r="O8" s="30" t="n"/>
    </row>
    <row r="9">
      <c r="A9" s="36" t="n">
        <v>37257</v>
      </c>
      <c r="B9" s="37" t="inlineStr">
        <is>
          <t>CH2: Quản lý Hồ sơ Chủ hộ KD</t>
        </is>
      </c>
      <c r="C9" s="37" t="inlineStr">
        <is>
          <t>Phân tích yêu cầu và viết SRS quản lý thông tin pháp lý &amp; hồ sơ cơ sở kinh doanh</t>
        </is>
      </c>
      <c r="D9" s="38" t="inlineStr">
        <is>
          <t>BA</t>
        </is>
      </c>
      <c r="E9" s="38" t="inlineStr">
        <is>
          <t>Việt</t>
        </is>
      </c>
      <c r="F9" s="38" t="inlineStr">
        <is>
          <t>3 ngày</t>
        </is>
      </c>
      <c r="G9" s="39" t="n">
        <v>46280</v>
      </c>
      <c r="H9" s="39" t="n">
        <v>46282</v>
      </c>
      <c r="I9" s="36" t="n">
        <v>36892</v>
      </c>
      <c r="J9" s="40" t="n">
        <v>0</v>
      </c>
      <c r="K9" s="37" t="inlineStr">
        <is>
          <t>Điều kiện cần để tuyển dụng</t>
        </is>
      </c>
      <c r="M9" s="70" t="n"/>
      <c r="N9" s="29" t="n"/>
      <c r="O9" s="30" t="n"/>
    </row>
    <row r="10">
      <c r="A10" s="41" t="n">
        <v>41640</v>
      </c>
      <c r="B10" s="42" t="inlineStr">
        <is>
          <t>CH9: Gửi Offer &amp; Quản lý Offer</t>
        </is>
      </c>
      <c r="C10" s="42" t="inlineStr">
        <is>
          <t>Đặc tả mẫu văn bản đề xuất tuyển dụng điện tử và quy trình phản hồi offer</t>
        </is>
      </c>
      <c r="D10" s="43" t="inlineStr">
        <is>
          <t>BA</t>
        </is>
      </c>
      <c r="E10" s="43" t="inlineStr">
        <is>
          <t>Việt</t>
        </is>
      </c>
      <c r="F10" s="43" t="inlineStr">
        <is>
          <t>4 ngày</t>
        </is>
      </c>
      <c r="G10" s="44" t="n">
        <v>46280</v>
      </c>
      <c r="H10" s="44" t="n">
        <v>46283</v>
      </c>
      <c r="I10" s="41" t="n">
        <v>40544</v>
      </c>
      <c r="J10" s="45" t="n">
        <v>0</v>
      </c>
      <c r="K10" s="42" t="inlineStr">
        <is>
          <t>Ưu tiên Demo W4 (T2 28/09)</t>
        </is>
      </c>
      <c r="M10" s="47" t="n"/>
      <c r="N10" s="48" t="n"/>
      <c r="O10" s="49" t="n"/>
    </row>
    <row r="11">
      <c r="A11" s="41" t="n">
        <v>42005</v>
      </c>
      <c r="B11" s="42" t="inlineStr">
        <is>
          <t>CH13: Nhắn tin với Ứng viên</t>
        </is>
      </c>
      <c r="C11" s="42" t="inlineStr">
        <is>
          <t>Viết SRS hệ thống tin nhắn hồ sơ và cơ chế AI gợi ý câu trả lời kèm luồng phê duyệt</t>
        </is>
      </c>
      <c r="D11" s="43" t="inlineStr">
        <is>
          <t>BA</t>
        </is>
      </c>
      <c r="E11" s="43" t="inlineStr">
        <is>
          <t>Việt</t>
        </is>
      </c>
      <c r="F11" s="43" t="inlineStr">
        <is>
          <t>4 ngày</t>
        </is>
      </c>
      <c r="G11" s="44" t="n">
        <v>46280</v>
      </c>
      <c r="H11" s="44" t="n">
        <v>46283</v>
      </c>
      <c r="I11" s="41" t="n">
        <v>40544</v>
      </c>
      <c r="J11" s="45" t="n">
        <v>0</v>
      </c>
      <c r="K11" s="42" t="inlineStr">
        <is>
          <t>Ưu tiên Demo W4 (T2 28/09)</t>
        </is>
      </c>
    </row>
    <row r="12">
      <c r="A12" s="50" t="n">
        <v>37622</v>
      </c>
      <c r="B12" s="51" t="inlineStr">
        <is>
          <t>CH14: Trang tổng quan Mobile / Web</t>
        </is>
      </c>
      <c r="C12" s="51" t="inlineStr">
        <is>
          <t>Xác định các chỉ số KPI tuyển dụng, lối tắt chức năng và viết SRS Dashboard NTD</t>
        </is>
      </c>
      <c r="D12" s="52" t="inlineStr">
        <is>
          <t>BA</t>
        </is>
      </c>
      <c r="E12" s="52" t="inlineStr">
        <is>
          <t>Việt</t>
        </is>
      </c>
      <c r="F12" s="52" t="inlineStr">
        <is>
          <t>3 ngày</t>
        </is>
      </c>
      <c r="G12" s="53" t="n">
        <v>46281</v>
      </c>
      <c r="H12" s="53" t="n">
        <v>46283</v>
      </c>
      <c r="I12" s="50" t="n">
        <v>37257</v>
      </c>
      <c r="J12" s="54" t="n">
        <v>0</v>
      </c>
      <c r="K12" s="51" t="inlineStr">
        <is>
          <t>Xác định KPI tuyển dụng &amp; lối tắt</t>
        </is>
      </c>
    </row>
    <row r="13">
      <c r="A13" s="50" t="n">
        <v>37987</v>
      </c>
      <c r="B13" s="51" t="inlineStr">
        <is>
          <t>CH3: Đăng tin tuyển dụng (Thủ công)</t>
        </is>
      </c>
      <c r="C13" s="51" t="inlineStr">
        <is>
          <t>Viết SRS quy trình tạo tin nhanh và định nghĩa cấu trúc trường dữ liệu tin tuyển dụng</t>
        </is>
      </c>
      <c r="D13" s="52" t="inlineStr">
        <is>
          <t>BA</t>
        </is>
      </c>
      <c r="E13" s="52" t="inlineStr">
        <is>
          <t>Việt</t>
        </is>
      </c>
      <c r="F13" s="52" t="inlineStr">
        <is>
          <t>3 ngày</t>
        </is>
      </c>
      <c r="G13" s="53" t="n">
        <v>46282</v>
      </c>
      <c r="H13" s="53" t="n">
        <v>46284</v>
      </c>
      <c r="I13" s="50" t="n">
        <v>37257</v>
      </c>
      <c r="J13" s="54" t="n">
        <v>0</v>
      </c>
      <c r="K13" s="51" t="inlineStr">
        <is>
          <t>Cấu trúc form tạo tin nhanh</t>
        </is>
      </c>
    </row>
    <row r="14">
      <c r="A14" s="36" t="n">
        <v>38353</v>
      </c>
      <c r="B14" s="37" t="inlineStr">
        <is>
          <t>CH3: Đăng tin tuyển dụng (AI)</t>
        </is>
      </c>
      <c r="C14" s="37" t="inlineStr">
        <is>
          <t>Xây dựng kịch bản hội thoại AI, logic trích xuất thông tin tin tuyển dụng từ prompt</t>
        </is>
      </c>
      <c r="D14" s="38" t="inlineStr">
        <is>
          <t>BA</t>
        </is>
      </c>
      <c r="E14" s="38" t="inlineStr">
        <is>
          <t>Việt</t>
        </is>
      </c>
      <c r="F14" s="38" t="inlineStr">
        <is>
          <t>4 ngày</t>
        </is>
      </c>
      <c r="G14" s="39" t="n">
        <v>46283</v>
      </c>
      <c r="H14" s="39" t="n">
        <v>46286</v>
      </c>
      <c r="I14" s="36" t="n">
        <v>37987</v>
      </c>
      <c r="J14" s="40" t="n">
        <v>0</v>
      </c>
      <c r="K14" s="37" t="inlineStr">
        <is>
          <t>Kịch bản hội thoại AI &amp; prompt</t>
        </is>
      </c>
    </row>
    <row r="15">
      <c r="A15" s="36" t="n">
        <v>41275</v>
      </c>
      <c r="B15" s="37" t="inlineStr">
        <is>
          <t>CH8: Đặt lịch &amp; Quản lý Phỏng vấn</t>
        </is>
      </c>
      <c r="C15" s="37" t="inlineStr">
        <is>
          <t>Viết SRS quy trình đặt lịch phỏng vấn, tích hợp công cụ họp trực tuyến và gửi thư mời</t>
        </is>
      </c>
      <c r="D15" s="38" t="inlineStr">
        <is>
          <t>BA</t>
        </is>
      </c>
      <c r="E15" s="38" t="inlineStr">
        <is>
          <t>Việt</t>
        </is>
      </c>
      <c r="F15" s="38" t="inlineStr">
        <is>
          <t>4 ngày</t>
        </is>
      </c>
      <c r="G15" s="39" t="n">
        <v>46284</v>
      </c>
      <c r="H15" s="39" t="n">
        <v>46287</v>
      </c>
      <c r="I15" s="36" t="n">
        <v>40544</v>
      </c>
      <c r="J15" s="40" t="n">
        <v>0</v>
      </c>
      <c r="K15" s="37" t="inlineStr">
        <is>
          <t>Tính năng trọng tâm - Đặt lịch họp</t>
        </is>
      </c>
    </row>
    <row r="16">
      <c r="A16" s="36" t="n">
        <v>38718</v>
      </c>
      <c r="B16" s="37" t="inlineStr">
        <is>
          <t>CH3: Đăng tin tuyển dụng (Hoàn thiện)</t>
        </is>
      </c>
      <c r="C16" s="37" t="inlineStr">
        <is>
          <t>Viết SRS chi tiết các thuộc tính nâng cao của tin tuyển dụng (tọa độ, ca làm, phúc lợi)</t>
        </is>
      </c>
      <c r="D16" s="38" t="inlineStr">
        <is>
          <t>BA</t>
        </is>
      </c>
      <c r="E16" s="38" t="inlineStr">
        <is>
          <t>Việt</t>
        </is>
      </c>
      <c r="F16" s="38" t="inlineStr">
        <is>
          <t>3 ngày</t>
        </is>
      </c>
      <c r="G16" s="39" t="n">
        <v>46285</v>
      </c>
      <c r="H16" s="39" t="n">
        <v>46287</v>
      </c>
      <c r="I16" s="36" t="n">
        <v>37987</v>
      </c>
      <c r="J16" s="40" t="n">
        <v>0</v>
      </c>
      <c r="K16" s="37" t="inlineStr">
        <is>
          <t>Thuộc tính nâng cao &amp; vị trí bản đồ</t>
        </is>
      </c>
    </row>
    <row r="17">
      <c r="A17" s="36" t="n">
        <v>39083</v>
      </c>
      <c r="B17" s="37" t="inlineStr">
        <is>
          <t>CH4: Quản lý danh sách tin &amp; Gia hạn (Vòng đời)</t>
        </is>
      </c>
      <c r="C17" s="37" t="inlineStr">
        <is>
          <t>Xây dựng State Machine vòng đời tin tuyển dụng và quy tắc chuyển trạng thái</t>
        </is>
      </c>
      <c r="D17" s="38" t="inlineStr">
        <is>
          <t>BA</t>
        </is>
      </c>
      <c r="E17" s="38" t="inlineStr">
        <is>
          <t>Việt</t>
        </is>
      </c>
      <c r="F17" s="38" t="inlineStr">
        <is>
          <t>3 ngày</t>
        </is>
      </c>
      <c r="G17" s="39" t="n">
        <v>46286</v>
      </c>
      <c r="H17" s="39" t="n">
        <v>46288</v>
      </c>
      <c r="I17" s="36" t="n">
        <v>38718</v>
      </c>
      <c r="J17" s="40" t="n">
        <v>0</v>
      </c>
      <c r="K17" s="37" t="inlineStr">
        <is>
          <t>State Machine vòng đời tin đăng</t>
        </is>
      </c>
    </row>
    <row r="18">
      <c r="A18" s="36" t="n">
        <v>39448</v>
      </c>
      <c r="B18" s="37" t="inlineStr">
        <is>
          <t>CH4: Quản lý danh sách tin &amp; Gia hạn (Ghim tin)</t>
        </is>
      </c>
      <c r="C18" s="37" t="inlineStr">
        <is>
          <t>Viết SRS nghiệp vụ ghim tin, thuật toán ưu tiên hiển thị và cơ chế tự động hết hạn</t>
        </is>
      </c>
      <c r="D18" s="38" t="inlineStr">
        <is>
          <t>BA</t>
        </is>
      </c>
      <c r="E18" s="38" t="inlineStr">
        <is>
          <t>Việt</t>
        </is>
      </c>
      <c r="F18" s="38" t="inlineStr">
        <is>
          <t>3 ngày</t>
        </is>
      </c>
      <c r="G18" s="39" t="n">
        <v>46287</v>
      </c>
      <c r="H18" s="39" t="n">
        <v>46289</v>
      </c>
      <c r="I18" s="36" t="n">
        <v>39083</v>
      </c>
      <c r="J18" s="40" t="n">
        <v>0</v>
      </c>
      <c r="K18" s="37" t="inlineStr">
        <is>
          <t>Quy tắc ghim &amp; tự động hết hạn</t>
        </is>
      </c>
    </row>
    <row r="19">
      <c r="A19" s="36" t="n">
        <v>39814</v>
      </c>
      <c r="B19" s="37" t="inlineStr">
        <is>
          <t>CH5: Tìm kiếm Ứng viên</t>
        </is>
      </c>
      <c r="C19" s="37" t="inlineStr">
        <is>
          <t>Xây dựng thuật toán Matching ứng viên (trọng số kỹ năng, kinh nghiệm, khoảng cách)</t>
        </is>
      </c>
      <c r="D19" s="38" t="inlineStr">
        <is>
          <t>BA</t>
        </is>
      </c>
      <c r="E19" s="38" t="inlineStr">
        <is>
          <t>Việt</t>
        </is>
      </c>
      <c r="F19" s="38" t="inlineStr">
        <is>
          <t>4 ngày</t>
        </is>
      </c>
      <c r="G19" s="39" t="n">
        <v>46287</v>
      </c>
      <c r="H19" s="39" t="n">
        <v>46290</v>
      </c>
      <c r="I19" s="36" t="n">
        <v>37622</v>
      </c>
      <c r="J19" s="40" t="n">
        <v>0</v>
      </c>
      <c r="K19" s="37" t="inlineStr">
        <is>
          <t>Thuật toán Matching ứng viên NTD</t>
        </is>
      </c>
    </row>
    <row r="20">
      <c r="A20" s="36" t="n">
        <v>40544</v>
      </c>
      <c r="B20" s="37" t="inlineStr">
        <is>
          <t>CH7: Quản lý đơn ứng tuyển</t>
        </is>
      </c>
      <c r="C20" s="37" t="inlineStr">
        <is>
          <t>Viết SRS quy trình Pipeline tuyển dụng: Đã nộp -&gt; Đã liên hệ -&gt; Phỏng vấn -&gt; Offer -&gt; Tuyển/Từ chối</t>
        </is>
      </c>
      <c r="D20" s="38" t="inlineStr">
        <is>
          <t>BA</t>
        </is>
      </c>
      <c r="E20" s="38" t="inlineStr">
        <is>
          <t>Việt</t>
        </is>
      </c>
      <c r="F20" s="38" t="inlineStr">
        <is>
          <t>4 ngày</t>
        </is>
      </c>
      <c r="G20" s="39" t="n">
        <v>46288</v>
      </c>
      <c r="H20" s="39" t="n">
        <v>46291</v>
      </c>
      <c r="I20" s="36" t="n">
        <v>39814</v>
      </c>
      <c r="J20" s="40" t="n">
        <v>0</v>
      </c>
      <c r="K20" s="37" t="inlineStr">
        <is>
          <t>Quy trình 5 bước Pipeline NTD</t>
        </is>
      </c>
    </row>
    <row r="21">
      <c r="A21" s="36" t="n">
        <v>40179</v>
      </c>
      <c r="B21" s="37" t="inlineStr">
        <is>
          <t>CH6: Mời Ứng viên ứng tuyển</t>
        </is>
      </c>
      <c r="C21" s="37" t="inlineStr">
        <is>
          <t>Viết SRS luồng gửi lời mời ứng tuyển trực tiếp và thông điệp mời việc</t>
        </is>
      </c>
      <c r="D21" s="38" t="inlineStr">
        <is>
          <t>BA</t>
        </is>
      </c>
      <c r="E21" s="38" t="inlineStr">
        <is>
          <t>Việt</t>
        </is>
      </c>
      <c r="F21" s="38" t="inlineStr">
        <is>
          <t>3 ngày</t>
        </is>
      </c>
      <c r="G21" s="39" t="n">
        <v>46289</v>
      </c>
      <c r="H21" s="39" t="n">
        <v>46291</v>
      </c>
      <c r="I21" s="36" t="n">
        <v>39814</v>
      </c>
      <c r="J21" s="40" t="n">
        <v>0</v>
      </c>
      <c r="K21" s="37" t="inlineStr">
        <is>
          <t>Luồng gửi lời mời ứng tuyển</t>
        </is>
      </c>
    </row>
    <row r="22">
      <c r="A22" s="36" t="n">
        <v>40909</v>
      </c>
      <c r="B22" s="37" t="inlineStr">
        <is>
          <t>CH7: Quản lý đơn ứng tuyển (Đánh giá)</t>
        </is>
      </c>
      <c r="C22" s="37" t="inlineStr">
        <is>
          <t>Đặc tả các tiêu chí phân tích tự động điểm mạnh/yếu của hồ sơ và cấu trúc ghi chú nội bộ</t>
        </is>
      </c>
      <c r="D22" s="38" t="inlineStr">
        <is>
          <t>BA</t>
        </is>
      </c>
      <c r="E22" s="38" t="inlineStr">
        <is>
          <t>Việt</t>
        </is>
      </c>
      <c r="F22" s="38" t="inlineStr">
        <is>
          <t>3 ngày</t>
        </is>
      </c>
      <c r="G22" s="39" t="n">
        <v>46290</v>
      </c>
      <c r="H22" s="39" t="n">
        <v>46292</v>
      </c>
      <c r="I22" s="36" t="n">
        <v>40544</v>
      </c>
      <c r="J22" s="40" t="n">
        <v>0</v>
      </c>
      <c r="K22" s="37" t="inlineStr">
        <is>
          <t>Tiêu chí đánh giá &amp; ghi chú bảo mật</t>
        </is>
      </c>
    </row>
    <row r="23">
      <c r="A23" s="36" t="n">
        <v>42736</v>
      </c>
      <c r="B23" s="37" t="inlineStr">
        <is>
          <t>CH15: Thông báo</t>
        </is>
      </c>
      <c r="C23" s="37" t="inlineStr">
        <is>
          <t>Viết SRS ma trận thông báo NTD (kênh thông báo: in-app, push web, email)</t>
        </is>
      </c>
      <c r="D23" s="38" t="inlineStr">
        <is>
          <t>BA</t>
        </is>
      </c>
      <c r="E23" s="38" t="inlineStr">
        <is>
          <t>Việt</t>
        </is>
      </c>
      <c r="F23" s="38" t="inlineStr">
        <is>
          <t>3 ngày</t>
        </is>
      </c>
      <c r="G23" s="39" t="n">
        <v>46292</v>
      </c>
      <c r="H23" s="39" t="n">
        <v>46294</v>
      </c>
      <c r="I23" s="36" t="n">
        <v>41640</v>
      </c>
      <c r="J23" s="40" t="n">
        <v>0</v>
      </c>
      <c r="K23" s="37" t="inlineStr">
        <is>
          <t>Ma trận thông báo đa kênh NTD</t>
        </is>
      </c>
    </row>
    <row r="24">
      <c r="A24" s="62" t="n"/>
      <c r="B24" s="66" t="n"/>
      <c r="C24" s="66" t="n"/>
      <c r="D24" s="62" t="n"/>
      <c r="E24" s="62" t="n"/>
      <c r="F24" s="62" t="n"/>
      <c r="G24" s="63" t="n"/>
      <c r="H24" s="63" t="n"/>
      <c r="I24" s="61" t="n"/>
      <c r="J24" s="65" t="n"/>
      <c r="K24" s="66" t="n"/>
    </row>
    <row r="25">
      <c r="A25" s="62" t="n"/>
      <c r="B25" s="66" t="n"/>
      <c r="C25" s="66" t="n"/>
      <c r="D25" s="62" t="n"/>
      <c r="E25" s="62" t="n"/>
      <c r="F25" s="62" t="n"/>
      <c r="G25" s="63" t="n"/>
      <c r="H25" s="63" t="n"/>
      <c r="I25" s="58" t="n"/>
      <c r="J25" s="65" t="n"/>
      <c r="K25" s="66" t="n"/>
    </row>
    <row r="26">
      <c r="A26" s="62" t="n"/>
      <c r="B26" s="66" t="n"/>
      <c r="C26" s="66" t="n"/>
      <c r="D26" s="62" t="n"/>
      <c r="E26" s="62" t="n"/>
      <c r="F26" s="62" t="n"/>
      <c r="G26" s="63" t="n"/>
      <c r="H26" s="63" t="n"/>
      <c r="I26" s="58" t="n"/>
      <c r="J26" s="65" t="n"/>
      <c r="K26" s="66" t="n"/>
    </row>
    <row r="27">
      <c r="A27" s="31" t="n">
        <v>46054</v>
      </c>
      <c r="B27" s="32" t="inlineStr">
        <is>
          <t>GIAI ĐOẠN 1 (W2-W5): THIẾT KẾ TRẢI NGHIỆM &amp; GIAO DIỆN (UI/UX - CHECKPOINT 1)</t>
        </is>
      </c>
      <c r="C27" s="32" t="inlineStr">
        <is>
          <t>Thiết kế prototype, wireframe Figma, chuẩn bị Product Concept &amp; Demo Checkpoint 1</t>
        </is>
      </c>
      <c r="D27" s="33" t="n"/>
      <c r="E27" s="33" t="n"/>
      <c r="F27" s="33" t="inlineStr">
        <is>
          <t>21 ngày</t>
        </is>
      </c>
      <c r="G27" s="34" t="n">
        <v>46282</v>
      </c>
      <c r="H27" s="34" t="n">
        <v>46302</v>
      </c>
      <c r="I27" s="60" t="n">
        <v>46023</v>
      </c>
      <c r="J27" s="35">
        <f>AVERAGE(J28:J44)</f>
        <v/>
      </c>
      <c r="K27" s="32" t="inlineStr">
        <is>
          <t>17 đầu việc UI/UX - Phục vụ Demo &amp; Checkpoint 1 (W5)</t>
        </is>
      </c>
    </row>
    <row r="28">
      <c r="A28" s="36" t="n">
        <v>36923</v>
      </c>
      <c r="B28" s="37" t="inlineStr">
        <is>
          <t>CH1: Đăng ký, Đăng nhập &amp; Xác minh CHKD</t>
        </is>
      </c>
      <c r="C28" s="37" t="inlineStr">
        <is>
          <t>Thiết kế UI/UX luồng đăng ký, đăng nhập, xác thực email và đặt lại mật khẩu</t>
        </is>
      </c>
      <c r="D28" s="38" t="inlineStr">
        <is>
          <t>UI/UX</t>
        </is>
      </c>
      <c r="E28" s="38" t="inlineStr">
        <is>
          <t>Ngân</t>
        </is>
      </c>
      <c r="F28" s="38" t="inlineStr">
        <is>
          <t>3 ngày</t>
        </is>
      </c>
      <c r="G28" s="39" t="n">
        <v>46282</v>
      </c>
      <c r="H28" s="39" t="n">
        <v>46284</v>
      </c>
      <c r="I28" s="36" t="n">
        <v>36892</v>
      </c>
      <c r="J28" s="40" t="n">
        <v>0</v>
      </c>
      <c r="K28" s="37" t="inlineStr">
        <is>
          <t>Wireframe &amp; Prototype Auth</t>
        </is>
      </c>
    </row>
    <row r="29">
      <c r="A29" s="36" t="n">
        <v>37288</v>
      </c>
      <c r="B29" s="37" t="inlineStr">
        <is>
          <t>CH2: Quản lý Hồ sơ Chủ hộ KD</t>
        </is>
      </c>
      <c r="C29" s="37" t="inlineStr">
        <is>
          <t>Thiết kế UI/UX trang hồ sơ doanh nghiệp, form cập nhật thông tin và upload giấy phép</t>
        </is>
      </c>
      <c r="D29" s="38" t="inlineStr">
        <is>
          <t>UI/UX</t>
        </is>
      </c>
      <c r="E29" s="38" t="inlineStr">
        <is>
          <t>Ngân</t>
        </is>
      </c>
      <c r="F29" s="38" t="inlineStr">
        <is>
          <t>3 ngày</t>
        </is>
      </c>
      <c r="G29" s="39" t="n">
        <v>46283</v>
      </c>
      <c r="H29" s="39" t="n">
        <v>46285</v>
      </c>
      <c r="I29" s="36" t="n">
        <v>37257</v>
      </c>
      <c r="J29" s="40" t="n">
        <v>0</v>
      </c>
      <c r="K29" s="37" t="inlineStr">
        <is>
          <t>Điều kiện cần để tuyển dụng</t>
        </is>
      </c>
    </row>
    <row r="30">
      <c r="A30" s="36" t="n">
        <v>37653</v>
      </c>
      <c r="B30" s="37" t="inlineStr">
        <is>
          <t>CH14: Trang tổng quan Mobile / Web</t>
        </is>
      </c>
      <c r="C30" s="37" t="inlineStr">
        <is>
          <t>Thiết kế UI/UX Dashboard tuyển dụng: các widget số liệu, danh sách việc cần làm</t>
        </is>
      </c>
      <c r="D30" s="38" t="inlineStr">
        <is>
          <t>UI/UX</t>
        </is>
      </c>
      <c r="E30" s="38" t="inlineStr">
        <is>
          <t>Ngân</t>
        </is>
      </c>
      <c r="F30" s="38" t="inlineStr">
        <is>
          <t>3 ngày</t>
        </is>
      </c>
      <c r="G30" s="39" t="n">
        <v>46284</v>
      </c>
      <c r="H30" s="39" t="n">
        <v>46286</v>
      </c>
      <c r="I30" s="36" t="n">
        <v>37622</v>
      </c>
      <c r="J30" s="40" t="n">
        <v>0</v>
      </c>
      <c r="K30" s="37" t="inlineStr">
        <is>
          <t>Dashboard widget &amp; Thao tác nhanh</t>
        </is>
      </c>
    </row>
    <row r="31">
      <c r="A31" s="41" t="n">
        <v>41671</v>
      </c>
      <c r="B31" s="42" t="inlineStr">
        <is>
          <t>CH9: Gửi Offer &amp; Quản lý Offer</t>
        </is>
      </c>
      <c r="C31" s="42" t="inlineStr">
        <is>
          <t>Thiết kế UI/UX form tạo offer tuyển dụng và giao diện theo dõi phản hồi từ ứng viên</t>
        </is>
      </c>
      <c r="D31" s="43" t="inlineStr">
        <is>
          <t>UI/UX</t>
        </is>
      </c>
      <c r="E31" s="43" t="inlineStr">
        <is>
          <t>Ngân</t>
        </is>
      </c>
      <c r="F31" s="43" t="inlineStr">
        <is>
          <t>3 ngày</t>
        </is>
      </c>
      <c r="G31" s="44" t="n">
        <v>46284</v>
      </c>
      <c r="H31" s="44" t="n">
        <v>46286</v>
      </c>
      <c r="I31" s="41" t="n">
        <v>41640</v>
      </c>
      <c r="J31" s="45" t="n">
        <v>0</v>
      </c>
      <c r="K31" s="42" t="inlineStr">
        <is>
          <t>Ưu tiên Demo W4 (T2 28/09)</t>
        </is>
      </c>
    </row>
    <row r="32">
      <c r="A32" s="41" t="n">
        <v>42036</v>
      </c>
      <c r="B32" s="42" t="inlineStr">
        <is>
          <t>CH13: Nhắn tin với Ứng viên</t>
        </is>
      </c>
      <c r="C32" s="42" t="inlineStr">
        <is>
          <t>Thiết kế UI/UX khung chat trực tuyến, component hiển thị câu trả lời AI gợi ý</t>
        </is>
      </c>
      <c r="D32" s="43" t="inlineStr">
        <is>
          <t>UI/UX</t>
        </is>
      </c>
      <c r="E32" s="43" t="inlineStr">
        <is>
          <t>Ngân</t>
        </is>
      </c>
      <c r="F32" s="43" t="inlineStr">
        <is>
          <t>3 ngày</t>
        </is>
      </c>
      <c r="G32" s="44" t="n">
        <v>46284</v>
      </c>
      <c r="H32" s="44" t="n">
        <v>46286</v>
      </c>
      <c r="I32" s="41" t="n">
        <v>42005</v>
      </c>
      <c r="J32" s="45" t="n">
        <v>0</v>
      </c>
      <c r="K32" s="42" t="inlineStr">
        <is>
          <t>Ưu tiên Demo W4 (T2 28/09)</t>
        </is>
      </c>
    </row>
    <row r="33">
      <c r="A33" s="41" t="n">
        <v>42401</v>
      </c>
      <c r="B33" s="42" t="inlineStr">
        <is>
          <t>CH16: Trợ lý AI và quản lý tri thức</t>
        </is>
      </c>
      <c r="C33" s="42" t="inlineStr">
        <is>
          <t>Thiết kế UI/UX giao diện Trợ lý AI và trang quản lý dữ liệu/tri thức cho phép AI sử dụng</t>
        </is>
      </c>
      <c r="D33" s="43" t="inlineStr">
        <is>
          <t>UI/UX</t>
        </is>
      </c>
      <c r="E33" s="43" t="inlineStr">
        <is>
          <t>Ngân</t>
        </is>
      </c>
      <c r="F33" s="43" t="inlineStr">
        <is>
          <t>4 ngày</t>
        </is>
      </c>
      <c r="G33" s="44" t="n">
        <v>46284</v>
      </c>
      <c r="H33" s="44" t="n">
        <v>46287</v>
      </c>
      <c r="I33" s="41" t="n">
        <v>42370</v>
      </c>
      <c r="J33" s="45" t="n">
        <v>0</v>
      </c>
      <c r="K33" s="42" t="inlineStr">
        <is>
          <t>Ưu tiên Demo W4 (T2 28/09)</t>
        </is>
      </c>
    </row>
    <row r="34">
      <c r="A34" s="36" t="n">
        <v>38018</v>
      </c>
      <c r="B34" s="37" t="inlineStr">
        <is>
          <t>CH3: Đăng tin tuyển dụng (Thủ công)</t>
        </is>
      </c>
      <c r="C34" s="37" t="inlineStr">
        <is>
          <t>Thiết kế UI/UX form tạo tin nhanh, giao diện lưu nháp và tiếp tục chỉnh sửa</t>
        </is>
      </c>
      <c r="D34" s="38" t="inlineStr">
        <is>
          <t>UI/UX</t>
        </is>
      </c>
      <c r="E34" s="38" t="inlineStr">
        <is>
          <t>Ngân</t>
        </is>
      </c>
      <c r="F34" s="38" t="inlineStr">
        <is>
          <t>3 ngày</t>
        </is>
      </c>
      <c r="G34" s="39" t="n">
        <v>46285</v>
      </c>
      <c r="H34" s="39" t="n">
        <v>46287</v>
      </c>
      <c r="I34" s="36" t="n">
        <v>37987</v>
      </c>
      <c r="J34" s="40" t="n">
        <v>0</v>
      </c>
      <c r="K34" s="37" t="inlineStr">
        <is>
          <t>Form tạo tin nhanh &amp; Lưu nháp</t>
        </is>
      </c>
    </row>
    <row r="35">
      <c r="A35" s="36" t="n">
        <v>38384</v>
      </c>
      <c r="B35" s="37" t="inlineStr">
        <is>
          <t>CH3: Đăng tin tuyển dụng (AI)</t>
        </is>
      </c>
      <c r="C35" s="37" t="inlineStr">
        <is>
          <t>Thiết kế UI/UX khung chat tương tác với AI và màn hình preview bản nháp tin do AI gợi ý</t>
        </is>
      </c>
      <c r="D35" s="38" t="inlineStr">
        <is>
          <t>UI/UX</t>
        </is>
      </c>
      <c r="E35" s="38" t="inlineStr">
        <is>
          <t>Ngân</t>
        </is>
      </c>
      <c r="F35" s="38" t="inlineStr">
        <is>
          <t>3 ngày</t>
        </is>
      </c>
      <c r="G35" s="39" t="n">
        <v>46287</v>
      </c>
      <c r="H35" s="39" t="n">
        <v>46289</v>
      </c>
      <c r="I35" s="36" t="n">
        <v>38353</v>
      </c>
      <c r="J35" s="40" t="n">
        <v>0</v>
      </c>
      <c r="K35" s="37" t="inlineStr">
        <is>
          <t>Khung chat AI &amp; Preview tin nháp</t>
        </is>
      </c>
    </row>
    <row r="36">
      <c r="A36" s="36" t="n">
        <v>38749</v>
      </c>
      <c r="B36" s="37" t="inlineStr">
        <is>
          <t>CH3: Đăng tin tuyển dụng (Hoàn thiện)</t>
        </is>
      </c>
      <c r="C36" s="37" t="inlineStr">
        <is>
          <t>Thiết kế UI/UX form chỉnh sửa chi tiết tin đăng, component chọn vị trí bản đồ</t>
        </is>
      </c>
      <c r="D36" s="38" t="inlineStr">
        <is>
          <t>UI/UX</t>
        </is>
      </c>
      <c r="E36" s="38" t="inlineStr">
        <is>
          <t>Ngân</t>
        </is>
      </c>
      <c r="F36" s="38" t="inlineStr">
        <is>
          <t>3 ngày</t>
        </is>
      </c>
      <c r="G36" s="39" t="n">
        <v>46288</v>
      </c>
      <c r="H36" s="39" t="n">
        <v>46290</v>
      </c>
      <c r="I36" s="36" t="n">
        <v>38718</v>
      </c>
      <c r="J36" s="40" t="n">
        <v>0</v>
      </c>
      <c r="K36" s="37" t="inlineStr">
        <is>
          <t>Form chi tiết &amp; Map Picker component</t>
        </is>
      </c>
    </row>
    <row r="37">
      <c r="A37" s="36" t="n">
        <v>41306</v>
      </c>
      <c r="B37" s="37" t="inlineStr">
        <is>
          <t>CH8: Đặt lịch &amp; Quản lý Phỏng vấn</t>
        </is>
      </c>
      <c r="C37" s="37" t="inlineStr">
        <is>
          <t>Thiết kế UI/UX form lên lịch phỏng vấn, modal chọn hình thức họp và màn hình quản lý lịch</t>
        </is>
      </c>
      <c r="D37" s="38" t="inlineStr">
        <is>
          <t>UI/UX</t>
        </is>
      </c>
      <c r="E37" s="38" t="inlineStr">
        <is>
          <t>Ngân</t>
        </is>
      </c>
      <c r="F37" s="38" t="inlineStr">
        <is>
          <t>3 ngày</t>
        </is>
      </c>
      <c r="G37" s="39" t="n">
        <v>46288</v>
      </c>
      <c r="H37" s="39" t="n">
        <v>46290</v>
      </c>
      <c r="I37" s="36" t="n">
        <v>41275</v>
      </c>
      <c r="J37" s="40" t="n">
        <v>0</v>
      </c>
      <c r="K37" s="37" t="inlineStr">
        <is>
          <t>Tính năng trọng tâm - Lên lịch hẹn</t>
        </is>
      </c>
    </row>
    <row r="38">
      <c r="A38" s="36" t="n">
        <v>39114</v>
      </c>
      <c r="B38" s="37" t="inlineStr">
        <is>
          <t>CH4: Quản lý danh sách tin &amp; Gia hạn (Vòng đời)</t>
        </is>
      </c>
      <c r="C38" s="37" t="inlineStr">
        <is>
          <t>Thiết kế UI/UX danh sách tin tuyển dụng, nút thao tác trạng thái và popup xác nhận</t>
        </is>
      </c>
      <c r="D38" s="38" t="inlineStr">
        <is>
          <t>UI/UX</t>
        </is>
      </c>
      <c r="E38" s="38" t="inlineStr">
        <is>
          <t>Ngân</t>
        </is>
      </c>
      <c r="F38" s="38" t="inlineStr">
        <is>
          <t>3 ngày</t>
        </is>
      </c>
      <c r="G38" s="39" t="n">
        <v>46289</v>
      </c>
      <c r="H38" s="39" t="n">
        <v>46291</v>
      </c>
      <c r="I38" s="36" t="n">
        <v>39083</v>
      </c>
      <c r="J38" s="40" t="n">
        <v>0</v>
      </c>
      <c r="K38" s="37" t="inlineStr">
        <is>
          <t>Danh sách tin &amp; Nút thao tác trạng thái</t>
        </is>
      </c>
    </row>
    <row r="39">
      <c r="A39" s="36" t="n">
        <v>39479</v>
      </c>
      <c r="B39" s="37" t="inlineStr">
        <is>
          <t>CH4: Quản lý danh sách tin &amp; Gia hạn (Ghim tin)</t>
        </is>
      </c>
      <c r="C39" s="37" t="inlineStr">
        <is>
          <t>Thiết kế UI/UX popup cài đặt thời gian ghim tin và badge hiển thị tin ưu tiên</t>
        </is>
      </c>
      <c r="D39" s="38" t="inlineStr">
        <is>
          <t>UI/UX</t>
        </is>
      </c>
      <c r="E39" s="38" t="inlineStr">
        <is>
          <t>Ngân</t>
        </is>
      </c>
      <c r="F39" s="38" t="inlineStr">
        <is>
          <t>2 ngày</t>
        </is>
      </c>
      <c r="G39" s="39" t="n">
        <v>46290</v>
      </c>
      <c r="H39" s="39" t="n">
        <v>46291</v>
      </c>
      <c r="I39" s="36" t="n">
        <v>39448</v>
      </c>
      <c r="J39" s="40" t="n">
        <v>0</v>
      </c>
      <c r="K39" s="37" t="inlineStr">
        <is>
          <t>Popup cài đặt thời gian ghim tin</t>
        </is>
      </c>
    </row>
    <row r="40">
      <c r="A40" s="36" t="n">
        <v>39845</v>
      </c>
      <c r="B40" s="37" t="inlineStr">
        <is>
          <t>CH5: Tìm kiếm Ứng viên</t>
        </is>
      </c>
      <c r="C40" s="37" t="inlineStr">
        <is>
          <t>Thiết kế UI/UX trang gợi ý ứng viên, thẻ ứng viên kèm điểm phù hợp và lý do</t>
        </is>
      </c>
      <c r="D40" s="38" t="inlineStr">
        <is>
          <t>UI/UX</t>
        </is>
      </c>
      <c r="E40" s="38" t="inlineStr">
        <is>
          <t>Ngân</t>
        </is>
      </c>
      <c r="F40" s="38" t="inlineStr">
        <is>
          <t>3 ngày</t>
        </is>
      </c>
      <c r="G40" s="39" t="n">
        <v>46291</v>
      </c>
      <c r="H40" s="39" t="n">
        <v>46293</v>
      </c>
      <c r="I40" s="36" t="n">
        <v>39814</v>
      </c>
      <c r="J40" s="40" t="n">
        <v>0</v>
      </c>
      <c r="K40" s="37" t="inlineStr">
        <is>
          <t>Trang gợi ý ứng viên &amp; Điểm match</t>
        </is>
      </c>
    </row>
    <row r="41">
      <c r="A41" s="36" t="n">
        <v>40210</v>
      </c>
      <c r="B41" s="37" t="inlineStr">
        <is>
          <t>CH6: Mời Ứng viên ứng tuyển</t>
        </is>
      </c>
      <c r="C41" s="37" t="inlineStr">
        <is>
          <t>Thiết kế UI/UX popup gửi lời mời ứng tuyển, chọn tin tuyển dụng và nhập lời nhắn</t>
        </is>
      </c>
      <c r="D41" s="38" t="inlineStr">
        <is>
          <t>UI/UX</t>
        </is>
      </c>
      <c r="E41" s="38" t="inlineStr">
        <is>
          <t>Ngân</t>
        </is>
      </c>
      <c r="F41" s="38" t="inlineStr">
        <is>
          <t>2 ngày</t>
        </is>
      </c>
      <c r="G41" s="39" t="n">
        <v>46292</v>
      </c>
      <c r="H41" s="39" t="n">
        <v>46293</v>
      </c>
      <c r="I41" s="36" t="n">
        <v>40179</v>
      </c>
      <c r="J41" s="40" t="n">
        <v>0</v>
      </c>
      <c r="K41" s="37" t="inlineStr">
        <is>
          <t>Popup gửi lời mời ứng tuyển</t>
        </is>
      </c>
    </row>
    <row r="42">
      <c r="A42" s="36" t="n">
        <v>40575</v>
      </c>
      <c r="B42" s="37" t="inlineStr">
        <is>
          <t>CH7: Quản lý đơn ứng tuyển</t>
        </is>
      </c>
      <c r="C42" s="37" t="inlineStr">
        <is>
          <t>Thiết kế UI/UX giao diện Pipeline dạng Kanban board và dạng danh sách chi tiết</t>
        </is>
      </c>
      <c r="D42" s="38" t="inlineStr">
        <is>
          <t>UI/UX</t>
        </is>
      </c>
      <c r="E42" s="38" t="inlineStr">
        <is>
          <t>Ngân</t>
        </is>
      </c>
      <c r="F42" s="38" t="inlineStr">
        <is>
          <t>4 ngày</t>
        </is>
      </c>
      <c r="G42" s="39" t="n">
        <v>46292</v>
      </c>
      <c r="H42" s="39" t="n">
        <v>46295</v>
      </c>
      <c r="I42" s="36" t="n">
        <v>40544</v>
      </c>
      <c r="J42" s="40" t="n">
        <v>0</v>
      </c>
      <c r="K42" s="37" t="inlineStr">
        <is>
          <t>Giao diện Pipeline Kanban kéo thả</t>
        </is>
      </c>
    </row>
    <row r="43">
      <c r="A43" s="36" t="n">
        <v>40940</v>
      </c>
      <c r="B43" s="37" t="inlineStr">
        <is>
          <t>CH7: Quản lý đơn ứng tuyển (Đánh giá)</t>
        </is>
      </c>
      <c r="C43" s="37" t="inlineStr">
        <is>
          <t>Thiết kế UI/UX khu vực đánh giá ứng viên và khung ghi chú nội bộ bảo mật</t>
        </is>
      </c>
      <c r="D43" s="38" t="inlineStr">
        <is>
          <t>UI/UX</t>
        </is>
      </c>
      <c r="E43" s="38" t="inlineStr">
        <is>
          <t>Ngân</t>
        </is>
      </c>
      <c r="F43" s="38" t="inlineStr">
        <is>
          <t>3 ngày</t>
        </is>
      </c>
      <c r="G43" s="39" t="n">
        <v>46293</v>
      </c>
      <c r="H43" s="39" t="n">
        <v>46295</v>
      </c>
      <c r="I43" s="36" t="n">
        <v>40909</v>
      </c>
      <c r="J43" s="40" t="n">
        <v>0</v>
      </c>
      <c r="K43" s="37" t="inlineStr">
        <is>
          <t>Khu vực đánh giá &amp; Ghi chú nội bộ</t>
        </is>
      </c>
    </row>
    <row r="44">
      <c r="A44" s="36" t="n">
        <v>42767</v>
      </c>
      <c r="B44" s="37" t="inlineStr">
        <is>
          <t>CH15: Thông báo</t>
        </is>
      </c>
      <c r="C44" s="37" t="inlineStr">
        <is>
          <t>Thiết kế UI/UX Notification Center: chuông thông báo, popup thông báo nổi và trang chi tiết</t>
        </is>
      </c>
      <c r="D44" s="38" t="inlineStr">
        <is>
          <t>UI/UX</t>
        </is>
      </c>
      <c r="E44" s="38" t="inlineStr">
        <is>
          <t>Ngân</t>
        </is>
      </c>
      <c r="F44" s="38" t="inlineStr">
        <is>
          <t>3 ngày</t>
        </is>
      </c>
      <c r="G44" s="39" t="n">
        <v>46295</v>
      </c>
      <c r="H44" s="39" t="n">
        <v>46297</v>
      </c>
      <c r="I44" s="36" t="n">
        <v>42736</v>
      </c>
      <c r="J44" s="40" t="n">
        <v>0</v>
      </c>
      <c r="K44" s="37" t="inlineStr">
        <is>
          <t>Notification Center: chuông &amp; popup</t>
        </is>
      </c>
    </row>
    <row r="45">
      <c r="A45" s="62" t="n"/>
      <c r="B45" s="66" t="n"/>
      <c r="C45" s="66" t="n"/>
      <c r="D45" s="62" t="n"/>
      <c r="E45" s="62" t="n"/>
      <c r="F45" s="62" t="n"/>
      <c r="G45" s="63" t="n"/>
      <c r="H45" s="63" t="n"/>
      <c r="I45" s="58" t="n"/>
      <c r="J45" s="65" t="n"/>
      <c r="K45" s="66" t="n"/>
    </row>
    <row r="46">
      <c r="A46" s="62" t="n"/>
      <c r="B46" s="66" t="n"/>
      <c r="C46" s="66" t="n"/>
      <c r="D46" s="62" t="n"/>
      <c r="E46" s="62" t="n"/>
      <c r="F46" s="62" t="n"/>
      <c r="G46" s="63" t="n"/>
      <c r="H46" s="63" t="n"/>
      <c r="I46" s="58" t="n"/>
      <c r="J46" s="65" t="n"/>
      <c r="K46" s="66" t="n"/>
    </row>
    <row r="47">
      <c r="A47" s="62" t="n"/>
      <c r="B47" s="66" t="n"/>
      <c r="C47" s="66" t="n"/>
      <c r="D47" s="62" t="n"/>
      <c r="E47" s="62" t="n"/>
      <c r="F47" s="62" t="n"/>
      <c r="G47" s="63" t="n"/>
      <c r="H47" s="63" t="n"/>
      <c r="I47" s="58" t="n"/>
      <c r="J47" s="65" t="n"/>
      <c r="K47" s="66" t="n"/>
    </row>
    <row r="48">
      <c r="A48" s="31" t="n">
        <v>46082</v>
      </c>
      <c r="B48" s="32" t="inlineStr">
        <is>
          <t>GIAI ĐOẠN 2 &amp; 3 (W3-W9): PHÁT TRIỂN BACKEND &amp; CƠ SỞ DỮ LIỆU (DEV BE - MVP &amp; FINAL)</t>
        </is>
      </c>
      <c r="C48" s="32" t="inlineStr">
        <is>
          <t>Xây dựng toàn bộ API dịch vụ, CSDL; ưu tiên Demo W4 (TN14-16), MVP W7 và Final trước 07/11</t>
        </is>
      </c>
      <c r="D48" s="33" t="n"/>
      <c r="E48" s="33" t="n"/>
      <c r="F48" s="33" t="inlineStr">
        <is>
          <t>44 ngày</t>
        </is>
      </c>
      <c r="G48" s="34" t="n">
        <v>46287</v>
      </c>
      <c r="H48" s="34" t="n">
        <v>46330</v>
      </c>
      <c r="I48" s="33" t="inlineStr">
        <is>
          <t>1.1, 1.2</t>
        </is>
      </c>
      <c r="J48" s="35">
        <f>AVERAGE(J49:J70)</f>
        <v/>
      </c>
      <c r="K48" s="32" t="inlineStr">
        <is>
          <t>22 đầu việc BE - Ưu tiên Demo W4 (TN14-16), MVP W7 và Final trước 07/11</t>
        </is>
      </c>
    </row>
    <row r="49">
      <c r="A49" s="41" t="n">
        <v>43160</v>
      </c>
      <c r="B49" s="42" t="inlineStr">
        <is>
          <t>CH9: Gửi Offer &amp; Quản lý Offer</t>
        </is>
      </c>
      <c r="C49" s="42" t="inlineStr">
        <is>
          <t>Phát triển API tạo offer, gửi thư đề xuất nhận việc và cập nhật phản hồi offer</t>
        </is>
      </c>
      <c r="D49" s="43" t="inlineStr">
        <is>
          <t>FO - BE</t>
        </is>
      </c>
      <c r="E49" s="43" t="inlineStr">
        <is>
          <t>Quang</t>
        </is>
      </c>
      <c r="F49" s="43" t="inlineStr">
        <is>
          <t>4 ngày</t>
        </is>
      </c>
      <c r="G49" s="44" t="n">
        <v>46287</v>
      </c>
      <c r="H49" s="44" t="n">
        <v>46290</v>
      </c>
      <c r="I49" s="41" t="n">
        <v>41671</v>
      </c>
      <c r="J49" s="45" t="n">
        <v>0</v>
      </c>
      <c r="K49" s="42" t="inlineStr">
        <is>
          <t>★ Ưu tiên Demo W4 (T2 28/09)</t>
        </is>
      </c>
    </row>
    <row r="50">
      <c r="A50" s="41" t="n">
        <v>43525</v>
      </c>
      <c r="B50" s="42" t="inlineStr">
        <is>
          <t>CH13: Nhắn tin với Ứng viên</t>
        </is>
      </c>
      <c r="C50" s="42" t="inlineStr">
        <is>
          <t>Phát triển Chat Service (WebSocket), API tích hợp AI đề xuất phản hồi cho NTD</t>
        </is>
      </c>
      <c r="D50" s="43" t="inlineStr">
        <is>
          <t>FO - BE</t>
        </is>
      </c>
      <c r="E50" s="43" t="inlineStr">
        <is>
          <t>Nghĩa</t>
        </is>
      </c>
      <c r="F50" s="43" t="inlineStr">
        <is>
          <t>4 ngày</t>
        </is>
      </c>
      <c r="G50" s="44" t="n">
        <v>46287</v>
      </c>
      <c r="H50" s="44" t="n">
        <v>46290</v>
      </c>
      <c r="I50" s="41" t="n">
        <v>42036</v>
      </c>
      <c r="J50" s="45" t="n">
        <v>0</v>
      </c>
      <c r="K50" s="42" t="inlineStr">
        <is>
          <t>★ Ưu tiên Demo W4 (T2 28/09)</t>
        </is>
      </c>
    </row>
    <row r="51">
      <c r="A51" s="41" t="n">
        <v>43891</v>
      </c>
      <c r="B51" s="42" t="inlineStr">
        <is>
          <t>CH16: Trợ lý AI và quản lý tri thức</t>
        </is>
      </c>
      <c r="C51" s="42" t="inlineStr">
        <is>
          <t>Phát triển API kết nối AI Assistant, quản lý vector database nguồn tri thức của cơ sở KD</t>
        </is>
      </c>
      <c r="D51" s="43" t="inlineStr">
        <is>
          <t>FO - BE</t>
        </is>
      </c>
      <c r="E51" s="43" t="inlineStr">
        <is>
          <t>Nghĩa</t>
        </is>
      </c>
      <c r="F51" s="43" t="inlineStr">
        <is>
          <t>5 ngày</t>
        </is>
      </c>
      <c r="G51" s="44" t="n">
        <v>46287</v>
      </c>
      <c r="H51" s="44" t="n">
        <v>46291</v>
      </c>
      <c r="I51" s="41" t="n">
        <v>42401</v>
      </c>
      <c r="J51" s="45" t="n">
        <v>0</v>
      </c>
      <c r="K51" s="42" t="inlineStr">
        <is>
          <t>★ Ưu tiên Demo W4 (T2 28/09)</t>
        </is>
      </c>
    </row>
    <row r="52">
      <c r="A52" s="41" t="n">
        <v>44256</v>
      </c>
      <c r="B52" s="42" t="inlineStr">
        <is>
          <t>CH16: Trợ lý AI và quản lý tri thức</t>
        </is>
      </c>
      <c r="C52" s="42" t="inlineStr">
        <is>
          <t>Phát triển API quản lý mô hình AI, giám sát giới hạn token và chi phí API</t>
        </is>
      </c>
      <c r="D52" s="43" t="inlineStr">
        <is>
          <t>BO - BE</t>
        </is>
      </c>
      <c r="E52" s="43" t="inlineStr">
        <is>
          <t>Kiên</t>
        </is>
      </c>
      <c r="F52" s="43" t="inlineStr">
        <is>
          <t>4 ngày</t>
        </is>
      </c>
      <c r="G52" s="44" t="n">
        <v>46288</v>
      </c>
      <c r="H52" s="44" t="n">
        <v>46291</v>
      </c>
      <c r="I52" s="41" t="n">
        <v>43891</v>
      </c>
      <c r="J52" s="45" t="n">
        <v>0</v>
      </c>
      <c r="K52" s="42" t="inlineStr">
        <is>
          <t>★ Ưu tiên Demo W4 (T2 28/09)</t>
        </is>
      </c>
    </row>
    <row r="53">
      <c r="A53" s="36" t="n">
        <v>36951</v>
      </c>
      <c r="B53" s="37" t="inlineStr">
        <is>
          <t>CH1: Đăng ký, Đăng nhập &amp; Xác minh CHKD</t>
        </is>
      </c>
      <c r="C53" s="37" t="inlineStr">
        <is>
          <t>Phát triển API đăng ký, đăng nhập, cấp token xác thực và gửi OTP email</t>
        </is>
      </c>
      <c r="D53" s="38" t="inlineStr">
        <is>
          <t>FO - BE</t>
        </is>
      </c>
      <c r="E53" s="38" t="inlineStr">
        <is>
          <t>Quang</t>
        </is>
      </c>
      <c r="F53" s="38" t="inlineStr">
        <is>
          <t>3 ngày</t>
        </is>
      </c>
      <c r="G53" s="39" t="n">
        <v>46293</v>
      </c>
      <c r="H53" s="39" t="n">
        <v>46295</v>
      </c>
      <c r="I53" s="36" t="n">
        <v>36923</v>
      </c>
      <c r="J53" s="40" t="n">
        <v>0</v>
      </c>
      <c r="K53" s="37" t="inlineStr">
        <is>
          <t>API Auth, Token &amp; OTP email</t>
        </is>
      </c>
    </row>
    <row r="54">
      <c r="A54" s="36" t="n">
        <v>37316</v>
      </c>
      <c r="B54" s="37" t="inlineStr">
        <is>
          <t>CH1: Đăng ký, Đăng nhập &amp; Xác minh CHKD</t>
        </is>
      </c>
      <c r="C54" s="37" t="inlineStr">
        <is>
          <t>Phát triển API quản lý danh sách tài khoản NTD, kích hoạt và khóa tài khoản</t>
        </is>
      </c>
      <c r="D54" s="38" t="inlineStr">
        <is>
          <t>BO - BE</t>
        </is>
      </c>
      <c r="E54" s="38" t="inlineStr">
        <is>
          <t>Quang</t>
        </is>
      </c>
      <c r="F54" s="38" t="inlineStr">
        <is>
          <t>3 ngày</t>
        </is>
      </c>
      <c r="G54" s="39" t="n">
        <v>46294</v>
      </c>
      <c r="H54" s="39" t="n">
        <v>46296</v>
      </c>
      <c r="I54" s="36" t="n">
        <v>36951</v>
      </c>
      <c r="J54" s="40" t="n">
        <v>0</v>
      </c>
      <c r="K54" s="37" t="inlineStr">
        <is>
          <t>API Quản lý tài khoản NTD Admin</t>
        </is>
      </c>
    </row>
    <row r="55">
      <c r="A55" s="36" t="n">
        <v>37681</v>
      </c>
      <c r="B55" s="37" t="inlineStr">
        <is>
          <t>CH2: Quản lý Hồ sơ Chủ hộ KD</t>
        </is>
      </c>
      <c r="C55" s="37" t="inlineStr">
        <is>
          <t>Phát triển API cập nhật thông tin cơ sở, kiểm tra tính đầy đủ hồ sơ trước khi đăng tin</t>
        </is>
      </c>
      <c r="D55" s="38" t="inlineStr">
        <is>
          <t>FO - BE</t>
        </is>
      </c>
      <c r="E55" s="38" t="inlineStr">
        <is>
          <t>Quang</t>
        </is>
      </c>
      <c r="F55" s="38" t="inlineStr">
        <is>
          <t>3 ngày</t>
        </is>
      </c>
      <c r="G55" s="39" t="n">
        <v>46295</v>
      </c>
      <c r="H55" s="39" t="n">
        <v>46297</v>
      </c>
      <c r="I55" s="36" t="n">
        <v>37288</v>
      </c>
      <c r="J55" s="40" t="n">
        <v>0</v>
      </c>
      <c r="K55" s="37" t="inlineStr">
        <is>
          <t>Điều kiện cần để tuyển dụng</t>
        </is>
      </c>
    </row>
    <row r="56">
      <c r="A56" s="36" t="n">
        <v>38047</v>
      </c>
      <c r="B56" s="37" t="inlineStr">
        <is>
          <t>CH2: Quản lý Hồ sơ Chủ hộ KD</t>
        </is>
      </c>
      <c r="C56" s="37" t="inlineStr">
        <is>
          <t>Phát triển API kiểm duyệt hồ sơ hộ kinh doanh, lưu trạng thái xác thực</t>
        </is>
      </c>
      <c r="D56" s="38" t="inlineStr">
        <is>
          <t>BO - BE</t>
        </is>
      </c>
      <c r="E56" s="38" t="inlineStr">
        <is>
          <t>Quang</t>
        </is>
      </c>
      <c r="F56" s="38" t="inlineStr">
        <is>
          <t>3 ngày</t>
        </is>
      </c>
      <c r="G56" s="39" t="n">
        <v>46296</v>
      </c>
      <c r="H56" s="39" t="n">
        <v>46298</v>
      </c>
      <c r="I56" s="36" t="n">
        <v>37681</v>
      </c>
      <c r="J56" s="40" t="n">
        <v>0</v>
      </c>
      <c r="K56" s="37" t="inlineStr">
        <is>
          <t>API Kiểm duyệt hồ sơ cơ sở KD</t>
        </is>
      </c>
    </row>
    <row r="57">
      <c r="A57" s="36" t="n">
        <v>38412</v>
      </c>
      <c r="B57" s="37" t="inlineStr">
        <is>
          <t>CH14: Trang tổng quan Mobile / Web</t>
        </is>
      </c>
      <c r="C57" s="37" t="inlineStr">
        <is>
          <t>Phát triển API tổng hợp số liệu tuyển dụng real-time và danh sách việc cần xử lý</t>
        </is>
      </c>
      <c r="D57" s="38" t="inlineStr">
        <is>
          <t>FO - BE</t>
        </is>
      </c>
      <c r="E57" s="38" t="inlineStr">
        <is>
          <t>Nghĩa</t>
        </is>
      </c>
      <c r="F57" s="38" t="inlineStr">
        <is>
          <t>3 ngày</t>
        </is>
      </c>
      <c r="G57" s="39" t="n">
        <v>46297</v>
      </c>
      <c r="H57" s="39" t="n">
        <v>46299</v>
      </c>
      <c r="I57" s="36" t="n">
        <v>37653</v>
      </c>
      <c r="J57" s="40" t="n">
        <v>0</v>
      </c>
      <c r="K57" s="37" t="inlineStr">
        <is>
          <t>API Tổng hợp số liệu Dashboard NTD</t>
        </is>
      </c>
    </row>
    <row r="58">
      <c r="A58" s="36" t="n">
        <v>38777</v>
      </c>
      <c r="B58" s="37" t="inlineStr">
        <is>
          <t>CH3: Đăng tin tuyển dụng (Thủ công)</t>
        </is>
      </c>
      <c r="C58" s="37" t="inlineStr">
        <is>
          <t>Phát triển API tạo mới và lưu nháp tin tuyển dụng thủ công</t>
        </is>
      </c>
      <c r="D58" s="38" t="inlineStr">
        <is>
          <t>FO - BE</t>
        </is>
      </c>
      <c r="E58" s="38" t="inlineStr">
        <is>
          <t>Nghĩa</t>
        </is>
      </c>
      <c r="F58" s="38" t="inlineStr">
        <is>
          <t>3 ngày</t>
        </is>
      </c>
      <c r="G58" s="39" t="n">
        <v>46298</v>
      </c>
      <c r="H58" s="39" t="n">
        <v>46300</v>
      </c>
      <c r="I58" s="36" t="n">
        <v>38018</v>
      </c>
      <c r="J58" s="40" t="n">
        <v>0</v>
      </c>
      <c r="K58" s="37" t="inlineStr">
        <is>
          <t>API Tạo mới &amp; Lưu nháp tin đăng</t>
        </is>
      </c>
    </row>
    <row r="59">
      <c r="A59" s="36" t="n">
        <v>39142</v>
      </c>
      <c r="B59" s="37" t="inlineStr">
        <is>
          <t>CH3: Đăng tin tuyển dụng (AI)</t>
        </is>
      </c>
      <c r="C59" s="37" t="inlineStr">
        <is>
          <t>Phát triển API tích hợp LLM sinh nội dung tin tuyển dụng và mapping dữ liệu bản nháp</t>
        </is>
      </c>
      <c r="D59" s="38" t="inlineStr">
        <is>
          <t>FO - BE</t>
        </is>
      </c>
      <c r="E59" s="38" t="inlineStr">
        <is>
          <t>Nghĩa</t>
        </is>
      </c>
      <c r="F59" s="38" t="inlineStr">
        <is>
          <t>4 ngày</t>
        </is>
      </c>
      <c r="G59" s="39" t="n">
        <v>46300</v>
      </c>
      <c r="H59" s="39" t="n">
        <v>46303</v>
      </c>
      <c r="I59" s="36" t="n">
        <v>38384</v>
      </c>
      <c r="J59" s="40" t="n">
        <v>0</v>
      </c>
      <c r="K59" s="37" t="inlineStr">
        <is>
          <t>Tích hợp LLM sinh tin tuyển dụng</t>
        </is>
      </c>
    </row>
    <row r="60">
      <c r="A60" s="36" t="n">
        <v>39508</v>
      </c>
      <c r="B60" s="37" t="inlineStr">
        <is>
          <t>CH3: Đăng tin tuyển dụng (Hoàn thiện)</t>
        </is>
      </c>
      <c r="C60" s="37" t="inlineStr">
        <is>
          <t>Phát triển API cập nhật chi tiết tin tuyển dụng, lưu tọa độ GPS và tiêu chí lọc</t>
        </is>
      </c>
      <c r="D60" s="38" t="inlineStr">
        <is>
          <t>FO - BE</t>
        </is>
      </c>
      <c r="E60" s="38" t="inlineStr">
        <is>
          <t>Quang</t>
        </is>
      </c>
      <c r="F60" s="38" t="inlineStr">
        <is>
          <t>3 ngày</t>
        </is>
      </c>
      <c r="G60" s="39" t="n">
        <v>46301</v>
      </c>
      <c r="H60" s="39" t="n">
        <v>46303</v>
      </c>
      <c r="I60" s="36" t="n">
        <v>38749</v>
      </c>
      <c r="J60" s="40" t="n">
        <v>0</v>
      </c>
      <c r="K60" s="37" t="inlineStr">
        <is>
          <t>API Cập nhật chi tiết &amp; GPS bản đồ</t>
        </is>
      </c>
    </row>
    <row r="61">
      <c r="A61" s="36" t="n">
        <v>39873</v>
      </c>
      <c r="B61" s="37" t="inlineStr">
        <is>
          <t>CH4: Quản lý danh sách tin &amp; Gia hạn (Vòng đời)</t>
        </is>
      </c>
      <c r="C61" s="37" t="inlineStr">
        <is>
          <t>Phát triển API chuyển trạng thái tin (Publish, Pause, Reopen, Close, Delete)</t>
        </is>
      </c>
      <c r="D61" s="38" t="inlineStr">
        <is>
          <t>FO - BE</t>
        </is>
      </c>
      <c r="E61" s="38" t="inlineStr">
        <is>
          <t>Quang</t>
        </is>
      </c>
      <c r="F61" s="38" t="inlineStr">
        <is>
          <t>3 ngày</t>
        </is>
      </c>
      <c r="G61" s="39" t="n">
        <v>46303</v>
      </c>
      <c r="H61" s="39" t="n">
        <v>46305</v>
      </c>
      <c r="I61" s="36" t="n">
        <v>39114</v>
      </c>
      <c r="J61" s="40" t="n">
        <v>0</v>
      </c>
      <c r="K61" s="37" t="inlineStr">
        <is>
          <t>API Chuyển trạng thái tin đăng</t>
        </is>
      </c>
    </row>
    <row r="62">
      <c r="A62" s="36" t="n">
        <v>40238</v>
      </c>
      <c r="B62" s="37" t="inlineStr">
        <is>
          <t>CH4: Quản lý danh sách tin &amp; Gia hạn (Vòng đời)</t>
        </is>
      </c>
      <c r="C62" s="37" t="inlineStr">
        <is>
          <t>Phát triển API kiểm duyệt tin đăng, khóa hoặc hạ tin vi phạm quy định</t>
        </is>
      </c>
      <c r="D62" s="38" t="inlineStr">
        <is>
          <t>BO - BE</t>
        </is>
      </c>
      <c r="E62" s="38" t="inlineStr">
        <is>
          <t>Quang</t>
        </is>
      </c>
      <c r="F62" s="38" t="inlineStr">
        <is>
          <t>3 ngày</t>
        </is>
      </c>
      <c r="G62" s="39" t="n">
        <v>46304</v>
      </c>
      <c r="H62" s="39" t="n">
        <v>46306</v>
      </c>
      <c r="I62" s="36" t="n">
        <v>39873</v>
      </c>
      <c r="J62" s="40" t="n">
        <v>0</v>
      </c>
      <c r="K62" s="37" t="inlineStr">
        <is>
          <t>API Kiểm duyệt tin đăng Admin</t>
        </is>
      </c>
    </row>
    <row r="63">
      <c r="A63" s="36" t="n">
        <v>40603</v>
      </c>
      <c r="B63" s="37" t="inlineStr">
        <is>
          <t>CH4: Quản lý danh sách tin &amp; Gia hạn (Ghim tin)</t>
        </is>
      </c>
      <c r="C63" s="37" t="inlineStr">
        <is>
          <t>Phát triển API ghim tin, lưu cấu hình lịch ghim và Job scheduler tự động gỡ ghim</t>
        </is>
      </c>
      <c r="D63" s="38" t="inlineStr">
        <is>
          <t>FO - BE</t>
        </is>
      </c>
      <c r="E63" s="38" t="inlineStr">
        <is>
          <t>Nghĩa</t>
        </is>
      </c>
      <c r="F63" s="38" t="inlineStr">
        <is>
          <t>3 ngày</t>
        </is>
      </c>
      <c r="G63" s="39" t="n">
        <v>46306</v>
      </c>
      <c r="H63" s="39" t="n">
        <v>46308</v>
      </c>
      <c r="I63" s="36" t="n">
        <v>39479</v>
      </c>
      <c r="J63" s="40" t="n">
        <v>0</v>
      </c>
      <c r="K63" s="37" t="inlineStr">
        <is>
          <t>API Ghim tin &amp; Scheduler gỡ ghim</t>
        </is>
      </c>
    </row>
    <row r="64">
      <c r="A64" s="36" t="n">
        <v>40969</v>
      </c>
      <c r="B64" s="37" t="inlineStr">
        <is>
          <t>CH4: Quản lý danh sách tin &amp; Gia hạn (Ghim tin)</t>
        </is>
      </c>
      <c r="C64" s="37" t="inlineStr">
        <is>
          <t>Phát triển API quản lý danh sách tin đang ghim và cấu hình vị trí ưu tiên hệ thống</t>
        </is>
      </c>
      <c r="D64" s="38" t="inlineStr">
        <is>
          <t>BO - BE</t>
        </is>
      </c>
      <c r="E64" s="38" t="inlineStr">
        <is>
          <t>Nghĩa</t>
        </is>
      </c>
      <c r="F64" s="38" t="inlineStr">
        <is>
          <t>2 ngày</t>
        </is>
      </c>
      <c r="G64" s="39" t="n">
        <v>46307</v>
      </c>
      <c r="H64" s="39" t="n">
        <v>46308</v>
      </c>
      <c r="I64" s="36" t="n">
        <v>40603</v>
      </c>
      <c r="J64" s="40" t="n">
        <v>0</v>
      </c>
      <c r="K64" s="37" t="inlineStr">
        <is>
          <t>API Cấu hình vị trí ưu tiên ghim</t>
        </is>
      </c>
    </row>
    <row r="65">
      <c r="A65" s="36" t="n">
        <v>41334</v>
      </c>
      <c r="B65" s="37" t="inlineStr">
        <is>
          <t>CH5: Tìm kiếm Ứng viên</t>
        </is>
      </c>
      <c r="C65" s="37" t="inlineStr">
        <is>
          <t>Phát triển API tính điểm Matching và lọc danh sách ứng viên phù hợp theo từng tin tuyển dụng</t>
        </is>
      </c>
      <c r="D65" s="38" t="inlineStr">
        <is>
          <t>FO - BE</t>
        </is>
      </c>
      <c r="E65" s="38" t="inlineStr">
        <is>
          <t>Nghĩa</t>
        </is>
      </c>
      <c r="F65" s="38" t="inlineStr">
        <is>
          <t>4 ngày</t>
        </is>
      </c>
      <c r="G65" s="39" t="n">
        <v>46308</v>
      </c>
      <c r="H65" s="39" t="n">
        <v>46311</v>
      </c>
      <c r="I65" s="36" t="n">
        <v>39845</v>
      </c>
      <c r="J65" s="40" t="n">
        <v>0</v>
      </c>
      <c r="K65" s="37" t="inlineStr">
        <is>
          <t>API Thuật toán Matching ứng viên NTD</t>
        </is>
      </c>
    </row>
    <row r="66">
      <c r="A66" s="36" t="n">
        <v>41699</v>
      </c>
      <c r="B66" s="37" t="inlineStr">
        <is>
          <t>CH6: Mời Ứng viên ứng tuyển</t>
        </is>
      </c>
      <c r="C66" s="37" t="inlineStr">
        <is>
          <t>Phát triển API gửi lời mời ứng tuyển, kiểm tra giới hạn lượt mời và gửi thông báo</t>
        </is>
      </c>
      <c r="D66" s="38" t="inlineStr">
        <is>
          <t>FO - BE</t>
        </is>
      </c>
      <c r="E66" s="38" t="inlineStr">
        <is>
          <t>Nghĩa</t>
        </is>
      </c>
      <c r="F66" s="38" t="inlineStr">
        <is>
          <t>3 ngày</t>
        </is>
      </c>
      <c r="G66" s="39" t="n">
        <v>46310</v>
      </c>
      <c r="H66" s="39" t="n">
        <v>46312</v>
      </c>
      <c r="I66" s="36" t="n">
        <v>40210</v>
      </c>
      <c r="J66" s="40" t="n">
        <v>0</v>
      </c>
      <c r="K66" s="37" t="inlineStr">
        <is>
          <t>API Gửi lời mời ứng tuyển trực tiếp</t>
        </is>
      </c>
    </row>
    <row r="67">
      <c r="A67" s="36" t="n">
        <v>42064</v>
      </c>
      <c r="B67" s="37" t="inlineStr">
        <is>
          <t>CH7: Quản lý đơn ứng tuyển</t>
        </is>
      </c>
      <c r="C67" s="37" t="inlineStr">
        <is>
          <t>Phát triển API quản lý Pipeline ứng viên, cập nhật trạng thái và lưu lịch sử chuyển giai đoạn</t>
        </is>
      </c>
      <c r="D67" s="38" t="inlineStr">
        <is>
          <t>FO - BE</t>
        </is>
      </c>
      <c r="E67" s="38" t="inlineStr">
        <is>
          <t>Quang</t>
        </is>
      </c>
      <c r="F67" s="38" t="inlineStr">
        <is>
          <t>4 ngày</t>
        </is>
      </c>
      <c r="G67" s="39" t="n">
        <v>46311</v>
      </c>
      <c r="H67" s="39" t="n">
        <v>46314</v>
      </c>
      <c r="I67" s="36" t="n">
        <v>40575</v>
      </c>
      <c r="J67" s="40" t="n">
        <v>0</v>
      </c>
      <c r="K67" s="37" t="inlineStr">
        <is>
          <t>API Quản lý Pipeline Kanban &amp; Log</t>
        </is>
      </c>
    </row>
    <row r="68">
      <c r="A68" s="36" t="n">
        <v>42430</v>
      </c>
      <c r="B68" s="37" t="inlineStr">
        <is>
          <t>CH7: Quản lý đơn ứng tuyển (Đánh giá)</t>
        </is>
      </c>
      <c r="C68" s="37" t="inlineStr">
        <is>
          <t>Phát triển API lưu và truy xuất ghi chú nội bộ, API phân tích dữ liệu ứng viên</t>
        </is>
      </c>
      <c r="D68" s="38" t="inlineStr">
        <is>
          <t>FO - BE</t>
        </is>
      </c>
      <c r="E68" s="38" t="inlineStr">
        <is>
          <t>Nghĩa</t>
        </is>
      </c>
      <c r="F68" s="38" t="inlineStr">
        <is>
          <t>3 ngày</t>
        </is>
      </c>
      <c r="G68" s="39" t="n">
        <v>46313</v>
      </c>
      <c r="H68" s="39" t="n">
        <v>46315</v>
      </c>
      <c r="I68" s="36" t="n">
        <v>40940</v>
      </c>
      <c r="J68" s="40" t="n">
        <v>0</v>
      </c>
      <c r="K68" s="37" t="inlineStr">
        <is>
          <t>API Lưu &amp; Truy xuất ghi chú nội bộ</t>
        </is>
      </c>
    </row>
    <row r="69">
      <c r="A69" s="36" t="n">
        <v>42795</v>
      </c>
      <c r="B69" s="37" t="inlineStr">
        <is>
          <t>CH8: Đặt lịch &amp; Quản lý Phỏng vấn</t>
        </is>
      </c>
      <c r="C69" s="37" t="inlineStr">
        <is>
          <t>Phát triển API tạo/hủy/cập nhật lịch phỏng vấn, tự động tạo phòng họp trực tuyến và gửi mail</t>
        </is>
      </c>
      <c r="D69" s="38" t="inlineStr">
        <is>
          <t>FO - BE</t>
        </is>
      </c>
      <c r="E69" s="38" t="inlineStr">
        <is>
          <t>Quang</t>
        </is>
      </c>
      <c r="F69" s="38" t="inlineStr">
        <is>
          <t>4 ngày</t>
        </is>
      </c>
      <c r="G69" s="39" t="n">
        <v>46314</v>
      </c>
      <c r="H69" s="39" t="n">
        <v>46317</v>
      </c>
      <c r="I69" s="36" t="n">
        <v>41306</v>
      </c>
      <c r="J69" s="40" t="n">
        <v>0</v>
      </c>
      <c r="K69" s="37" t="inlineStr">
        <is>
          <t>Tính năng trọng tâm - Tạo phòng họp</t>
        </is>
      </c>
    </row>
    <row r="70">
      <c r="A70" s="36" t="n">
        <v>44621</v>
      </c>
      <c r="B70" s="37" t="inlineStr">
        <is>
          <t>CH15: Thông báo</t>
        </is>
      </c>
      <c r="C70" s="37" t="inlineStr">
        <is>
          <t>Phát triển Service Notification đa kênh, API đánh dấu đã đọc và đếm thông báo chưa xem</t>
        </is>
      </c>
      <c r="D70" s="38" t="inlineStr">
        <is>
          <t>FO - BE</t>
        </is>
      </c>
      <c r="E70" s="38" t="inlineStr">
        <is>
          <t>Quang</t>
        </is>
      </c>
      <c r="F70" s="38" t="inlineStr">
        <is>
          <t>3 ngày</t>
        </is>
      </c>
      <c r="G70" s="39" t="n">
        <v>46318</v>
      </c>
      <c r="H70" s="39" t="n">
        <v>46320</v>
      </c>
      <c r="I70" s="36" t="n">
        <v>42767</v>
      </c>
      <c r="J70" s="40" t="n">
        <v>0</v>
      </c>
      <c r="K70" s="37" t="inlineStr">
        <is>
          <t>Service Notification đa kênh NTD</t>
        </is>
      </c>
    </row>
    <row r="71">
      <c r="A71" s="62" t="n"/>
      <c r="B71" s="66" t="n"/>
      <c r="C71" s="66" t="n"/>
      <c r="D71" s="62" t="n"/>
      <c r="E71" s="62" t="n"/>
      <c r="F71" s="62" t="n"/>
      <c r="G71" s="63" t="n"/>
      <c r="H71" s="63" t="n"/>
      <c r="I71" s="58" t="n"/>
      <c r="J71" s="65" t="n"/>
      <c r="K71" s="66" t="n"/>
    </row>
    <row r="72">
      <c r="A72" s="62" t="n"/>
      <c r="B72" s="66" t="n"/>
      <c r="C72" s="66" t="n"/>
      <c r="D72" s="62" t="n"/>
      <c r="E72" s="62" t="n"/>
      <c r="F72" s="62" t="n"/>
      <c r="G72" s="63" t="n"/>
      <c r="H72" s="63" t="n"/>
      <c r="I72" s="58" t="n"/>
      <c r="J72" s="65" t="n"/>
      <c r="K72" s="66" t="n"/>
    </row>
    <row r="73">
      <c r="A73" s="62" t="n"/>
      <c r="B73" s="66" t="n"/>
      <c r="C73" s="66" t="n"/>
      <c r="D73" s="62" t="n"/>
      <c r="E73" s="62" t="n"/>
      <c r="F73" s="62" t="n"/>
      <c r="G73" s="63" t="n"/>
      <c r="H73" s="63" t="n"/>
      <c r="I73" s="58" t="n"/>
      <c r="J73" s="65" t="n"/>
      <c r="K73" s="66" t="n"/>
    </row>
    <row r="74">
      <c r="A74" s="31" t="n">
        <v>46113</v>
      </c>
      <c r="B74" s="32" t="inlineStr">
        <is>
          <t>GIAI ĐOẠN 2 &amp; 3 (W3-W9): PHÁT TRIỂN GIAO DIỆN &amp; TÍCH HỢP (DEV FE - MVP &amp; FINAL)</t>
        </is>
      </c>
      <c r="C74" s="32" t="inlineStr">
        <is>
          <t>Xây dựng toàn bộ Web/Mobile Kênh NTD; ưu tiên Demo W4 (TN14-16), MVP W7 và Final trước 07/11</t>
        </is>
      </c>
      <c r="D74" s="33" t="n"/>
      <c r="E74" s="33" t="n"/>
      <c r="F74" s="33" t="inlineStr">
        <is>
          <t>44 ngày</t>
        </is>
      </c>
      <c r="G74" s="34" t="n">
        <v>46289</v>
      </c>
      <c r="H74" s="34" t="n">
        <v>46332</v>
      </c>
      <c r="I74" s="33" t="inlineStr">
        <is>
          <t>1.2, 1.3</t>
        </is>
      </c>
      <c r="J74" s="35">
        <f>AVERAGE(J75:J96)</f>
        <v/>
      </c>
      <c r="K74" s="32" t="inlineStr">
        <is>
          <t>22 đầu việc FE - Ưu tiên Demo W4 (TN14-16), MVP W7 và Final trước 07/11</t>
        </is>
      </c>
    </row>
    <row r="75">
      <c r="A75" s="41" t="n">
        <v>43191</v>
      </c>
      <c r="B75" s="42" t="inlineStr">
        <is>
          <t>CH9: Gửi Offer &amp; Quản lý Offer</t>
        </is>
      </c>
      <c r="C75" s="42" t="inlineStr">
        <is>
          <t>Phát triển giao diện tạo đề xuất nhận việc và bảng theo dõi trạng thái offer Kênh NTD</t>
        </is>
      </c>
      <c r="D75" s="43" t="inlineStr">
        <is>
          <t>FO - FE</t>
        </is>
      </c>
      <c r="E75" s="43" t="inlineStr">
        <is>
          <t>Kiên</t>
        </is>
      </c>
      <c r="F75" s="43" t="inlineStr">
        <is>
          <t>4 ngày</t>
        </is>
      </c>
      <c r="G75" s="44" t="n">
        <v>46289</v>
      </c>
      <c r="H75" s="44" t="n">
        <v>46292</v>
      </c>
      <c r="I75" s="41" t="n">
        <v>43160</v>
      </c>
      <c r="J75" s="45" t="n">
        <v>0</v>
      </c>
      <c r="K75" s="42" t="inlineStr">
        <is>
          <t>★ Ưu tiên Demo W4 (T2 28/09)</t>
        </is>
      </c>
    </row>
    <row r="76">
      <c r="A76" s="41" t="n">
        <v>43556</v>
      </c>
      <c r="B76" s="42" t="inlineStr">
        <is>
          <t>CH13: Nhắn tin với Ứng viên</t>
        </is>
      </c>
      <c r="C76" s="42" t="inlineStr">
        <is>
          <t>Phát triển giao diện chat Kênh NTD, khung hiển thị văn bản AI gợi ý và nút xác nhận gửi</t>
        </is>
      </c>
      <c r="D76" s="43" t="inlineStr">
        <is>
          <t>FO - FE</t>
        </is>
      </c>
      <c r="E76" s="43" t="inlineStr">
        <is>
          <t>Kiên</t>
        </is>
      </c>
      <c r="F76" s="43" t="inlineStr">
        <is>
          <t>4 ngày</t>
        </is>
      </c>
      <c r="G76" s="44" t="n">
        <v>46289</v>
      </c>
      <c r="H76" s="44" t="n">
        <v>46292</v>
      </c>
      <c r="I76" s="41" t="n">
        <v>43525</v>
      </c>
      <c r="J76" s="45" t="n">
        <v>0</v>
      </c>
      <c r="K76" s="42" t="inlineStr">
        <is>
          <t>★ Ưu tiên Demo W4 (T2 28/09)</t>
        </is>
      </c>
    </row>
    <row r="77">
      <c r="A77" s="41" t="n">
        <v>43922</v>
      </c>
      <c r="B77" s="42" t="inlineStr">
        <is>
          <t>CH16: Trợ lý AI và quản lý tri thức</t>
        </is>
      </c>
      <c r="C77" s="42" t="inlineStr">
        <is>
          <t>Phát triển giao diện trợ lý AI và màn hình thiết lập bộ nhớ tri thức AI trên Kênh NTD</t>
        </is>
      </c>
      <c r="D77" s="43" t="inlineStr">
        <is>
          <t>FO - FE</t>
        </is>
      </c>
      <c r="E77" s="43" t="inlineStr">
        <is>
          <t>Nghĩa</t>
        </is>
      </c>
      <c r="F77" s="43" t="inlineStr">
        <is>
          <t>4 ngày</t>
        </is>
      </c>
      <c r="G77" s="44" t="n">
        <v>46289</v>
      </c>
      <c r="H77" s="44" t="n">
        <v>46292</v>
      </c>
      <c r="I77" s="41" t="n">
        <v>43891</v>
      </c>
      <c r="J77" s="45" t="n">
        <v>0</v>
      </c>
      <c r="K77" s="42" t="inlineStr">
        <is>
          <t>★ Ưu tiên Demo W4 (T2 28/09)</t>
        </is>
      </c>
    </row>
    <row r="78">
      <c r="A78" s="41" t="n">
        <v>44287</v>
      </c>
      <c r="B78" s="42" t="inlineStr">
        <is>
          <t>CH16: Trợ lý AI và quản lý tri thức</t>
        </is>
      </c>
      <c r="C78" s="42" t="inlineStr">
        <is>
          <t>Phát triển màn hình Admin theo dõi hiệu năng và quản trị cấu hình AI toàn hệ thống</t>
        </is>
      </c>
      <c r="D78" s="43" t="inlineStr">
        <is>
          <t>BO - FE</t>
        </is>
      </c>
      <c r="E78" s="43" t="inlineStr">
        <is>
          <t>Nghĩa</t>
        </is>
      </c>
      <c r="F78" s="43" t="inlineStr">
        <is>
          <t>3 ngày</t>
        </is>
      </c>
      <c r="G78" s="44" t="n">
        <v>46290</v>
      </c>
      <c r="H78" s="44" t="n">
        <v>46292</v>
      </c>
      <c r="I78" s="41" t="n">
        <v>44256</v>
      </c>
      <c r="J78" s="45" t="n">
        <v>0</v>
      </c>
      <c r="K78" s="42" t="inlineStr">
        <is>
          <t>★ Ưu tiên Demo W4 (T2 28/09)</t>
        </is>
      </c>
    </row>
    <row r="79">
      <c r="A79" s="36" t="n">
        <v>36982</v>
      </c>
      <c r="B79" s="37" t="inlineStr">
        <is>
          <t>CH1: Đăng ký, Đăng nhập &amp; Xác minh CHKD</t>
        </is>
      </c>
      <c r="C79" s="37" t="inlineStr">
        <is>
          <t>Phát triển giao diện đăng ký, đăng nhập, form xác thực email và khôi phục mật khẩu</t>
        </is>
      </c>
      <c r="D79" s="38" t="inlineStr">
        <is>
          <t>FO - FE</t>
        </is>
      </c>
      <c r="E79" s="38" t="inlineStr">
        <is>
          <t>Ngân</t>
        </is>
      </c>
      <c r="F79" s="38" t="inlineStr">
        <is>
          <t>3 ngày</t>
        </is>
      </c>
      <c r="G79" s="39" t="n">
        <v>46296</v>
      </c>
      <c r="H79" s="39" t="n">
        <v>46298</v>
      </c>
      <c r="I79" s="36" t="n">
        <v>36951</v>
      </c>
      <c r="J79" s="40" t="n">
        <v>0</v>
      </c>
      <c r="K79" s="37" t="inlineStr">
        <is>
          <t>Giao diện Đăng ký, Đăng nhập, OTP</t>
        </is>
      </c>
    </row>
    <row r="80">
      <c r="A80" s="36" t="n">
        <v>37347</v>
      </c>
      <c r="B80" s="37" t="inlineStr">
        <is>
          <t>CH1: Đăng ký, Đăng nhập &amp; Xác minh CHKD</t>
        </is>
      </c>
      <c r="C80" s="37" t="inlineStr">
        <is>
          <t>Phát triển màn hình quản trị tài khoản NTD và lịch sử đăng nhập</t>
        </is>
      </c>
      <c r="D80" s="38" t="inlineStr">
        <is>
          <t>BO - FE</t>
        </is>
      </c>
      <c r="E80" s="38" t="inlineStr">
        <is>
          <t>Việt</t>
        </is>
      </c>
      <c r="F80" s="38" t="inlineStr">
        <is>
          <t>3 ngày</t>
        </is>
      </c>
      <c r="G80" s="39" t="n">
        <v>46297</v>
      </c>
      <c r="H80" s="39" t="n">
        <v>46299</v>
      </c>
      <c r="I80" s="36" t="n">
        <v>37316</v>
      </c>
      <c r="J80" s="40" t="n">
        <v>0</v>
      </c>
      <c r="K80" s="37" t="inlineStr">
        <is>
          <t>Màn hình Admin quản trị tài khoản NTD</t>
        </is>
      </c>
    </row>
    <row r="81">
      <c r="A81" s="36" t="n">
        <v>37712</v>
      </c>
      <c r="B81" s="37" t="inlineStr">
        <is>
          <t>CH2: Quản lý Hồ sơ Chủ hộ KD</t>
        </is>
      </c>
      <c r="C81" s="37" t="inlineStr">
        <is>
          <t>Phát triển giao diện hồ sơ hộ kinh doanh, form nhập liệu và xem trước hồ sơ</t>
        </is>
      </c>
      <c r="D81" s="38" t="inlineStr">
        <is>
          <t>FO - FE</t>
        </is>
      </c>
      <c r="E81" s="38" t="inlineStr">
        <is>
          <t>Ngân</t>
        </is>
      </c>
      <c r="F81" s="38" t="inlineStr">
        <is>
          <t>3 ngày</t>
        </is>
      </c>
      <c r="G81" s="39" t="n">
        <v>46298</v>
      </c>
      <c r="H81" s="39" t="n">
        <v>46300</v>
      </c>
      <c r="I81" s="36" t="n">
        <v>37681</v>
      </c>
      <c r="J81" s="40" t="n">
        <v>0</v>
      </c>
      <c r="K81" s="37" t="inlineStr">
        <is>
          <t>Điều kiện cần để tuyển dụng</t>
        </is>
      </c>
    </row>
    <row r="82">
      <c r="A82" s="36" t="n">
        <v>38078</v>
      </c>
      <c r="B82" s="37" t="inlineStr">
        <is>
          <t>CH2: Quản lý Hồ sơ Chủ hộ KD</t>
        </is>
      </c>
      <c r="C82" s="37" t="inlineStr">
        <is>
          <t>Phát triển màn hình kiểm duyệt và xác minh thông tin hộ kinh doanh cho Admin</t>
        </is>
      </c>
      <c r="D82" s="38" t="inlineStr">
        <is>
          <t>BO - FE</t>
        </is>
      </c>
      <c r="E82" s="38" t="inlineStr">
        <is>
          <t>Việt</t>
        </is>
      </c>
      <c r="F82" s="38" t="inlineStr">
        <is>
          <t>3 ngày</t>
        </is>
      </c>
      <c r="G82" s="39" t="n">
        <v>46299</v>
      </c>
      <c r="H82" s="39" t="n">
        <v>46301</v>
      </c>
      <c r="I82" s="36" t="n">
        <v>38047</v>
      </c>
      <c r="J82" s="40" t="n">
        <v>0</v>
      </c>
      <c r="K82" s="37" t="inlineStr">
        <is>
          <t>Màn hình Admin kiểm duyệt cơ sở KD</t>
        </is>
      </c>
    </row>
    <row r="83">
      <c r="A83" s="36" t="n">
        <v>38443</v>
      </c>
      <c r="B83" s="37" t="inlineStr">
        <is>
          <t>CH14: Trang tổng quan Mobile / Web</t>
        </is>
      </c>
      <c r="C83" s="37" t="inlineStr">
        <is>
          <t>Phát triển giao diện Dashboard NTD, tích hợp biểu đồ trực quan và widget lối tắt</t>
        </is>
      </c>
      <c r="D83" s="38" t="inlineStr">
        <is>
          <t>FO - FE</t>
        </is>
      </c>
      <c r="E83" s="38" t="inlineStr">
        <is>
          <t>Kiên</t>
        </is>
      </c>
      <c r="F83" s="38" t="inlineStr">
        <is>
          <t>3 ngày</t>
        </is>
      </c>
      <c r="G83" s="39" t="n">
        <v>46300</v>
      </c>
      <c r="H83" s="39" t="n">
        <v>46302</v>
      </c>
      <c r="I83" s="36" t="n">
        <v>38412</v>
      </c>
      <c r="J83" s="40" t="n">
        <v>0</v>
      </c>
      <c r="K83" s="37" t="inlineStr">
        <is>
          <t>Dashboard NTD: biểu đồ &amp; widget lối tắt</t>
        </is>
      </c>
    </row>
    <row r="84">
      <c r="A84" s="36" t="n">
        <v>38808</v>
      </c>
      <c r="B84" s="37" t="inlineStr">
        <is>
          <t>CH3: Đăng tin tuyển dụng (Thủ công)</t>
        </is>
      </c>
      <c r="C84" s="37" t="inlineStr">
        <is>
          <t>Phát triển giao diện form tạo tin nhanh Kênh NTD và xử lý validation cơ bản</t>
        </is>
      </c>
      <c r="D84" s="38" t="inlineStr">
        <is>
          <t>FO - FE</t>
        </is>
      </c>
      <c r="E84" s="38" t="inlineStr">
        <is>
          <t>Kiên</t>
        </is>
      </c>
      <c r="F84" s="38" t="inlineStr">
        <is>
          <t>3 ngày</t>
        </is>
      </c>
      <c r="G84" s="39" t="n">
        <v>46301</v>
      </c>
      <c r="H84" s="39" t="n">
        <v>46303</v>
      </c>
      <c r="I84" s="36" t="n">
        <v>38777</v>
      </c>
      <c r="J84" s="40" t="n">
        <v>0</v>
      </c>
      <c r="K84" s="37" t="inlineStr">
        <is>
          <t>Giao diện form tạo tin nhanh Kênh NTD</t>
        </is>
      </c>
    </row>
    <row r="85">
      <c r="A85" s="36" t="n">
        <v>39173</v>
      </c>
      <c r="B85" s="37" t="inlineStr">
        <is>
          <t>CH3: Đăng tin tuyển dụng (AI)</t>
        </is>
      </c>
      <c r="C85" s="37" t="inlineStr">
        <is>
          <t>Phát triển giao diện tương tác Chatbot AI sinh tin tuyển dụng và form xác nhận</t>
        </is>
      </c>
      <c r="D85" s="38" t="inlineStr">
        <is>
          <t>FO - FE</t>
        </is>
      </c>
      <c r="E85" s="38" t="inlineStr">
        <is>
          <t>Kiên</t>
        </is>
      </c>
      <c r="F85" s="38" t="inlineStr">
        <is>
          <t>4 ngày</t>
        </is>
      </c>
      <c r="G85" s="39" t="n">
        <v>46303</v>
      </c>
      <c r="H85" s="39" t="n">
        <v>46306</v>
      </c>
      <c r="I85" s="36" t="n">
        <v>39142</v>
      </c>
      <c r="J85" s="40" t="n">
        <v>0</v>
      </c>
      <c r="K85" s="37" t="inlineStr">
        <is>
          <t>Khung chat Chatbot AI sinh tin tuyển dụng</t>
        </is>
      </c>
    </row>
    <row r="86">
      <c r="A86" s="36" t="n">
        <v>39539</v>
      </c>
      <c r="B86" s="37" t="inlineStr">
        <is>
          <t>CH3: Đăng tin tuyển dụng (Hoàn thiện)</t>
        </is>
      </c>
      <c r="C86" s="37" t="inlineStr">
        <is>
          <t>Phát triển giao diện form chỉnh sửa hoàn thiện tin, tích hợp Google Maps API</t>
        </is>
      </c>
      <c r="D86" s="38" t="inlineStr">
        <is>
          <t>FO - FE</t>
        </is>
      </c>
      <c r="E86" s="38" t="inlineStr">
        <is>
          <t>Quang</t>
        </is>
      </c>
      <c r="F86" s="38" t="inlineStr">
        <is>
          <t>3 ngày</t>
        </is>
      </c>
      <c r="G86" s="39" t="n">
        <v>46304</v>
      </c>
      <c r="H86" s="39" t="n">
        <v>46306</v>
      </c>
      <c r="I86" s="36" t="n">
        <v>39508</v>
      </c>
      <c r="J86" s="40" t="n">
        <v>0</v>
      </c>
      <c r="K86" s="37" t="inlineStr">
        <is>
          <t>Giao diện sửa tin &amp; Google Maps API</t>
        </is>
      </c>
    </row>
    <row r="87">
      <c r="A87" s="36" t="n">
        <v>39904</v>
      </c>
      <c r="B87" s="37" t="inlineStr">
        <is>
          <t>CH4: Quản lý danh sách tin &amp; Gia hạn (Vòng đời)</t>
        </is>
      </c>
      <c r="C87" s="37" t="inlineStr">
        <is>
          <t>Phát triển giao diện quản lý danh sách tin tuyển dụng và bộ lọc trạng thái Kênh NTD</t>
        </is>
      </c>
      <c r="D87" s="38" t="inlineStr">
        <is>
          <t>FO - FE</t>
        </is>
      </c>
      <c r="E87" s="38" t="inlineStr">
        <is>
          <t>Ngân</t>
        </is>
      </c>
      <c r="F87" s="38" t="inlineStr">
        <is>
          <t>3 ngày</t>
        </is>
      </c>
      <c r="G87" s="39" t="n">
        <v>46306</v>
      </c>
      <c r="H87" s="39" t="n">
        <v>46308</v>
      </c>
      <c r="I87" s="36" t="n">
        <v>39873</v>
      </c>
      <c r="J87" s="40" t="n">
        <v>0</v>
      </c>
      <c r="K87" s="37" t="inlineStr">
        <is>
          <t>Quản lý danh sách tin &amp; Bộ lọc trạng thái</t>
        </is>
      </c>
    </row>
    <row r="88" ht="33" customHeight="1" s="80">
      <c r="A88" s="36" t="n">
        <v>40269</v>
      </c>
      <c r="B88" s="37" t="inlineStr">
        <is>
          <t>CH4: Quản lý danh sách tin &amp; Gia hạn (Vòng đời)</t>
        </is>
      </c>
      <c r="C88" s="37" t="inlineStr">
        <is>
          <t>Phát triển màn hình kiểm duyệt và quản lý toàn bộ tin tuyển dụng trên hệ thống cho Admin</t>
        </is>
      </c>
      <c r="D88" s="38" t="inlineStr">
        <is>
          <t>BO - FE</t>
        </is>
      </c>
      <c r="E88" s="38" t="inlineStr">
        <is>
          <t>Việt</t>
        </is>
      </c>
      <c r="F88" s="38" t="inlineStr">
        <is>
          <t>3 ngày</t>
        </is>
      </c>
      <c r="G88" s="39" t="n">
        <v>46307</v>
      </c>
      <c r="H88" s="39" t="n">
        <v>46309</v>
      </c>
      <c r="I88" s="36" t="n">
        <v>40238</v>
      </c>
      <c r="J88" s="40" t="n">
        <v>0</v>
      </c>
      <c r="K88" s="37" t="inlineStr">
        <is>
          <t>Màn hình Admin kiểm duyệt tin sàn</t>
        </is>
      </c>
    </row>
    <row r="89">
      <c r="A89" s="36" t="n">
        <v>40634</v>
      </c>
      <c r="B89" s="37" t="inlineStr">
        <is>
          <t>CH4: Quản lý danh sách tin &amp; Gia hạn (Ghim tin)</t>
        </is>
      </c>
      <c r="C89" s="37" t="inlineStr">
        <is>
          <t>Phát triển giao diện chọn lịch ghim tin và hiển thị trạng thái ghim trên Kênh NTD</t>
        </is>
      </c>
      <c r="D89" s="38" t="inlineStr">
        <is>
          <t>FO - FE</t>
        </is>
      </c>
      <c r="E89" s="38" t="inlineStr">
        <is>
          <t>Ngân</t>
        </is>
      </c>
      <c r="F89" s="38" t="inlineStr">
        <is>
          <t>2 ngày</t>
        </is>
      </c>
      <c r="G89" s="39" t="n">
        <v>46309</v>
      </c>
      <c r="H89" s="39" t="n">
        <v>46310</v>
      </c>
      <c r="I89" s="36" t="n">
        <v>40603</v>
      </c>
      <c r="J89" s="40" t="n">
        <v>0</v>
      </c>
      <c r="K89" s="37" t="inlineStr">
        <is>
          <t>Giao diện chọn lịch ghim tin NTD</t>
        </is>
      </c>
    </row>
    <row r="90">
      <c r="A90" s="36" t="n">
        <v>41000</v>
      </c>
      <c r="B90" s="37" t="inlineStr">
        <is>
          <t>CH4: Quản lý danh sách tin &amp; Gia hạn (Ghim tin)</t>
        </is>
      </c>
      <c r="C90" s="37" t="inlineStr">
        <is>
          <t>Phát triển màn hình Admin theo dõi và điều chỉnh danh sách tin ghim toàn sàn</t>
        </is>
      </c>
      <c r="D90" s="38" t="inlineStr">
        <is>
          <t>BO - FE</t>
        </is>
      </c>
      <c r="E90" s="38" t="inlineStr">
        <is>
          <t>Việt</t>
        </is>
      </c>
      <c r="F90" s="38" t="inlineStr">
        <is>
          <t>2 ngày</t>
        </is>
      </c>
      <c r="G90" s="39" t="n">
        <v>46309</v>
      </c>
      <c r="H90" s="39" t="n">
        <v>46310</v>
      </c>
      <c r="I90" s="36" t="n">
        <v>40969</v>
      </c>
      <c r="J90" s="40" t="n">
        <v>0</v>
      </c>
      <c r="K90" s="37" t="inlineStr">
        <is>
          <t>Màn hình Admin theo dõi danh sách ghim</t>
        </is>
      </c>
    </row>
    <row r="91">
      <c r="A91" s="36" t="n">
        <v>41365</v>
      </c>
      <c r="B91" s="37" t="inlineStr">
        <is>
          <t>CH5: Tìm kiếm Ứng viên</t>
        </is>
      </c>
      <c r="C91" s="37" t="inlineStr">
        <is>
          <t>Phát triển giao diện danh sách ứng viên gợi ý kèm bộ lọc nâng cao trên Kênh NTD</t>
        </is>
      </c>
      <c r="D91" s="38" t="inlineStr">
        <is>
          <t>FO - FE</t>
        </is>
      </c>
      <c r="E91" s="38" t="inlineStr">
        <is>
          <t>Kiên</t>
        </is>
      </c>
      <c r="F91" s="38" t="inlineStr">
        <is>
          <t>3 ngày</t>
        </is>
      </c>
      <c r="G91" s="39" t="n">
        <v>46311</v>
      </c>
      <c r="H91" s="39" t="n">
        <v>46313</v>
      </c>
      <c r="I91" s="36" t="n">
        <v>41334</v>
      </c>
      <c r="J91" s="40" t="n">
        <v>0</v>
      </c>
      <c r="K91" s="37" t="inlineStr">
        <is>
          <t>Danh sách ứng viên gợi ý &amp; Bộ lọc NTD</t>
        </is>
      </c>
    </row>
    <row r="92">
      <c r="A92" s="36" t="n">
        <v>41730</v>
      </c>
      <c r="B92" s="37" t="inlineStr">
        <is>
          <t>CH6: Mời Ứng viên ứng tuyển</t>
        </is>
      </c>
      <c r="C92" s="37" t="inlineStr">
        <is>
          <t>Phát triển giao diện popup gửi lời mời ứng tuyển trên danh sách ứng viên</t>
        </is>
      </c>
      <c r="D92" s="38" t="inlineStr">
        <is>
          <t>FO - FE</t>
        </is>
      </c>
      <c r="E92" s="38" t="inlineStr">
        <is>
          <t>Kiên</t>
        </is>
      </c>
      <c r="F92" s="38" t="inlineStr">
        <is>
          <t>2 ngày</t>
        </is>
      </c>
      <c r="G92" s="39" t="n">
        <v>46313</v>
      </c>
      <c r="H92" s="39" t="n">
        <v>46314</v>
      </c>
      <c r="I92" s="36" t="n">
        <v>41699</v>
      </c>
      <c r="J92" s="40" t="n">
        <v>0</v>
      </c>
      <c r="K92" s="37" t="inlineStr">
        <is>
          <t>Popup gửi lời mời ứng tuyển NTD</t>
        </is>
      </c>
    </row>
    <row r="93">
      <c r="A93" s="36" t="n">
        <v>42095</v>
      </c>
      <c r="B93" s="37" t="inlineStr">
        <is>
          <t>CH7: Quản lý đơn ứng tuyển</t>
        </is>
      </c>
      <c r="C93" s="37" t="inlineStr">
        <is>
          <t>Phát triển giao diện Pipeline kéo thả (Kanban) và màn hình hồ sơ ứng viên chi tiết</t>
        </is>
      </c>
      <c r="D93" s="38" t="inlineStr">
        <is>
          <t>FO - FE</t>
        </is>
      </c>
      <c r="E93" s="38" t="inlineStr">
        <is>
          <t>Quang</t>
        </is>
      </c>
      <c r="F93" s="38" t="inlineStr">
        <is>
          <t>4 ngày</t>
        </is>
      </c>
      <c r="G93" s="39" t="n">
        <v>46314</v>
      </c>
      <c r="H93" s="39" t="n">
        <v>46317</v>
      </c>
      <c r="I93" s="36" t="n">
        <v>42064</v>
      </c>
      <c r="J93" s="40" t="n">
        <v>0</v>
      </c>
      <c r="K93" s="37" t="inlineStr">
        <is>
          <t>Giao diện Pipeline Kanban kéo thả NTD</t>
        </is>
      </c>
    </row>
    <row r="94">
      <c r="A94" s="36" t="n">
        <v>42461</v>
      </c>
      <c r="B94" s="37" t="inlineStr">
        <is>
          <t>CH7: Quản lý đơn ứng tuyển (Đánh giá)</t>
        </is>
      </c>
      <c r="C94" s="37" t="inlineStr">
        <is>
          <t>Phát triển giao diện hiển thị đánh giá gợi ý và khung nhập ghi chú nội bộ</t>
        </is>
      </c>
      <c r="D94" s="38" t="inlineStr">
        <is>
          <t>FO - FE</t>
        </is>
      </c>
      <c r="E94" s="38" t="inlineStr">
        <is>
          <t>Kiên</t>
        </is>
      </c>
      <c r="F94" s="38" t="inlineStr">
        <is>
          <t>3 ngày</t>
        </is>
      </c>
      <c r="G94" s="39" t="n">
        <v>46316</v>
      </c>
      <c r="H94" s="39" t="n">
        <v>46318</v>
      </c>
      <c r="I94" s="36" t="n">
        <v>42430</v>
      </c>
      <c r="J94" s="40" t="n">
        <v>0</v>
      </c>
      <c r="K94" s="37" t="inlineStr">
        <is>
          <t>Giao diện đánh giá &amp; Ghi chú nội bộ</t>
        </is>
      </c>
    </row>
    <row r="95">
      <c r="A95" s="36" t="n">
        <v>42826</v>
      </c>
      <c r="B95" s="37" t="inlineStr">
        <is>
          <t>CH8: Đặt lịch &amp; Quản lý Phỏng vấn</t>
        </is>
      </c>
      <c r="C95" s="37" t="inlineStr">
        <is>
          <t>Phát triển giao diện quản lý lịch phỏng vấn, cập nhật trạng thái buổi phỏng vấn trên Kênh NTD</t>
        </is>
      </c>
      <c r="D95" s="38" t="inlineStr">
        <is>
          <t>FO - FE</t>
        </is>
      </c>
      <c r="E95" s="38" t="inlineStr">
        <is>
          <t>Quang</t>
        </is>
      </c>
      <c r="F95" s="38" t="inlineStr">
        <is>
          <t>3 ngày</t>
        </is>
      </c>
      <c r="G95" s="39" t="n">
        <v>46318</v>
      </c>
      <c r="H95" s="39" t="n">
        <v>46320</v>
      </c>
      <c r="I95" s="36" t="n">
        <v>42795</v>
      </c>
      <c r="J95" s="40" t="n">
        <v>0</v>
      </c>
      <c r="K95" s="37" t="inlineStr">
        <is>
          <t>Tính năng trọng tâm - Quản lý lịch phỏng vấn</t>
        </is>
      </c>
    </row>
    <row r="96">
      <c r="A96" s="36" t="n">
        <v>44652</v>
      </c>
      <c r="B96" s="37" t="inlineStr">
        <is>
          <t>CH15: Thông báo</t>
        </is>
      </c>
      <c r="C96" s="37" t="inlineStr">
        <is>
          <t>Phát triển giao diện Notification Center và bộ lọc thông báo trên Kênh NTD</t>
        </is>
      </c>
      <c r="D96" s="38" t="inlineStr">
        <is>
          <t>FO - FE</t>
        </is>
      </c>
      <c r="E96" s="38" t="inlineStr">
        <is>
          <t>Kiên</t>
        </is>
      </c>
      <c r="F96" s="38" t="inlineStr">
        <is>
          <t>3 ngày</t>
        </is>
      </c>
      <c r="G96" s="39" t="n">
        <v>46321</v>
      </c>
      <c r="H96" s="39" t="n">
        <v>46323</v>
      </c>
      <c r="I96" s="36" t="n">
        <v>44621</v>
      </c>
      <c r="J96" s="40" t="n">
        <v>0</v>
      </c>
      <c r="K96" s="37" t="inlineStr">
        <is>
          <t>Notification Center &amp; Bộ lọc thông báo</t>
        </is>
      </c>
    </row>
    <row r="97">
      <c r="A97" s="62" t="n"/>
      <c r="B97" s="66" t="n"/>
      <c r="C97" s="66" t="n"/>
      <c r="D97" s="62" t="n"/>
      <c r="E97" s="62" t="n"/>
      <c r="F97" s="62" t="n"/>
      <c r="G97" s="63" t="n"/>
      <c r="H97" s="63" t="n"/>
      <c r="I97" s="58" t="n"/>
      <c r="J97" s="65" t="n"/>
      <c r="K97" s="66" t="n"/>
    </row>
    <row r="98">
      <c r="A98" s="62" t="n"/>
      <c r="B98" s="66" t="n"/>
      <c r="C98" s="66" t="n"/>
      <c r="D98" s="62" t="n"/>
      <c r="E98" s="62" t="n"/>
      <c r="F98" s="62" t="n"/>
      <c r="G98" s="63" t="n"/>
      <c r="H98" s="63" t="n"/>
      <c r="I98" s="58" t="n"/>
      <c r="J98" s="65" t="n"/>
      <c r="K98" s="66" t="n"/>
    </row>
    <row r="99">
      <c r="A99" s="62" t="n"/>
      <c r="B99" s="66" t="n"/>
      <c r="C99" s="66" t="n"/>
      <c r="D99" s="62" t="n"/>
      <c r="E99" s="62" t="n"/>
      <c r="F99" s="62" t="n"/>
      <c r="G99" s="63" t="n"/>
      <c r="H99" s="63" t="n"/>
      <c r="I99" s="58" t="n"/>
      <c r="J99" s="65" t="n"/>
      <c r="K99" s="66" t="n"/>
    </row>
    <row r="100">
      <c r="A100" s="22" t="n">
        <v>2</v>
      </c>
      <c r="B100" s="23" t="inlineStr">
        <is>
          <t>PHÂN HỆ HỌC SINH - SINH VIÊN (ỨNG VIÊN)</t>
        </is>
      </c>
      <c r="C100" s="23" t="inlineStr">
        <is>
          <t>Toàn bộ tính năng tìm việc, quản lý hồ sơ và ứng tuyển cho Học sinh - Sinh viên</t>
        </is>
      </c>
      <c r="D100" s="22" t="n"/>
      <c r="E100" s="22" t="n"/>
      <c r="F100" s="22" t="inlineStr">
        <is>
          <t>55 ngày</t>
        </is>
      </c>
      <c r="G100" s="24" t="n">
        <v>46279</v>
      </c>
      <c r="H100" s="24" t="n">
        <v>46333</v>
      </c>
      <c r="I100" s="22" t="inlineStr">
        <is>
          <t>-</t>
        </is>
      </c>
      <c r="J100" s="27">
        <f>(J101+J120+J139+J158)/4</f>
        <v/>
      </c>
      <c r="K100" s="23" t="inlineStr">
        <is>
          <t>15 nhóm tính năng SV (theo SRS)</t>
        </is>
      </c>
    </row>
    <row r="101">
      <c r="A101" s="31" t="n">
        <v>46024</v>
      </c>
      <c r="B101" s="32" t="inlineStr">
        <is>
          <t>GIAI ĐOẠN 1 (W2-W5): PHÂN TÍCH NGHIỆP VỤ &amp; TÀI LIỆU SRS (BA - CHECKPOINT 1)</t>
        </is>
      </c>
      <c r="C101" s="32" t="inlineStr">
        <is>
          <t>Hoàn thiện SRS quy trình tìm việc, ma trận tính năng ứng viên phục vụ Checkpoint 1 (W5)</t>
        </is>
      </c>
      <c r="D101" s="33" t="n"/>
      <c r="E101" s="33" t="inlineStr">
        <is>
          <t>Việt</t>
        </is>
      </c>
      <c r="F101" s="33" t="inlineStr">
        <is>
          <t>21 ngày</t>
        </is>
      </c>
      <c r="G101" s="34" t="n">
        <v>46279</v>
      </c>
      <c r="H101" s="34" t="n">
        <v>46299</v>
      </c>
      <c r="I101" s="33" t="inlineStr">
        <is>
          <t>-</t>
        </is>
      </c>
      <c r="J101" s="35">
        <f>AVERAGE(J102:J116)</f>
        <v/>
      </c>
      <c r="K101" s="32" t="inlineStr">
        <is>
          <t>15 đầu việc BA - Đạt mốc Checkpoint 1 (W5)</t>
        </is>
      </c>
    </row>
    <row r="102">
      <c r="A102" s="36" t="n">
        <v>36893</v>
      </c>
      <c r="B102" s="37" t="inlineStr">
        <is>
          <t>SV1: Đăng ký, Đăng nhập &amp; Bảo mật tài khoản</t>
        </is>
      </c>
      <c r="C102" s="37" t="inlineStr">
        <is>
          <t>Phân tích yêu cầu và viết SRS xác thực tài khoản ứng viên HS/SV</t>
        </is>
      </c>
      <c r="D102" s="38" t="inlineStr">
        <is>
          <t>BA</t>
        </is>
      </c>
      <c r="E102" s="38" t="inlineStr">
        <is>
          <t>Việt</t>
        </is>
      </c>
      <c r="F102" s="38" t="inlineStr">
        <is>
          <t>3 ngày</t>
        </is>
      </c>
      <c r="G102" s="39" t="n">
        <v>46279</v>
      </c>
      <c r="H102" s="39" t="n">
        <v>46281</v>
      </c>
      <c r="I102" s="38" t="inlineStr">
        <is>
          <t>-</t>
        </is>
      </c>
      <c r="J102" s="40" t="n">
        <v>0</v>
      </c>
      <c r="K102" s="37" t="inlineStr">
        <is>
          <t>SRS xác thực tài khoản ứng viên HS/SV</t>
        </is>
      </c>
    </row>
    <row r="103">
      <c r="A103" s="36" t="n">
        <v>37258</v>
      </c>
      <c r="B103" s="37" t="inlineStr">
        <is>
          <t>SV2: Quản lý Hồ sơ tìm việc</t>
        </is>
      </c>
      <c r="C103" s="37" t="inlineStr">
        <is>
          <t>Viết SRS quản lý hồ sơ ứng viên (khung giờ rảnh, kinh nghiệm, kỹ năng part-time)</t>
        </is>
      </c>
      <c r="D103" s="38" t="inlineStr">
        <is>
          <t>BA</t>
        </is>
      </c>
      <c r="E103" s="38" t="inlineStr">
        <is>
          <t>Việt</t>
        </is>
      </c>
      <c r="F103" s="38" t="inlineStr">
        <is>
          <t>3 ngày</t>
        </is>
      </c>
      <c r="G103" s="39" t="n">
        <v>46280</v>
      </c>
      <c r="H103" s="39" t="n">
        <v>46282</v>
      </c>
      <c r="I103" s="36" t="n">
        <v>36893</v>
      </c>
      <c r="J103" s="40" t="n">
        <v>0</v>
      </c>
      <c r="K103" s="37" t="inlineStr">
        <is>
          <t>SRS hồ sơ ứng viên &amp; ca rảnh part-time</t>
        </is>
      </c>
    </row>
    <row r="104">
      <c r="A104" s="41" t="n">
        <v>41641</v>
      </c>
      <c r="B104" s="42" t="inlineStr">
        <is>
          <t>SV14: Trang tổng quan tìm việc (Dashboard)</t>
        </is>
      </c>
      <c r="C104" s="42" t="inlineStr">
        <is>
          <t>Xác định các chỉ số thống kê tìm việc cho sinh viên và viết SRS Dashboard HS/SV</t>
        </is>
      </c>
      <c r="D104" s="43" t="inlineStr">
        <is>
          <t>BA</t>
        </is>
      </c>
      <c r="E104" s="43" t="inlineStr">
        <is>
          <t>Việt</t>
        </is>
      </c>
      <c r="F104" s="43" t="inlineStr">
        <is>
          <t>4 ngày</t>
        </is>
      </c>
      <c r="G104" s="44" t="n">
        <v>46280</v>
      </c>
      <c r="H104" s="44" t="n">
        <v>46283</v>
      </c>
      <c r="I104" s="41" t="n">
        <v>36893</v>
      </c>
      <c r="J104" s="45" t="n">
        <v>0</v>
      </c>
      <c r="K104" s="42" t="inlineStr">
        <is>
          <t>Ưu tiên Demo W4 (T2 28/09)</t>
        </is>
      </c>
    </row>
    <row r="105">
      <c r="A105" s="41" t="n">
        <v>42006</v>
      </c>
      <c r="B105" s="42" t="inlineStr">
        <is>
          <t>SV15: Thông báo (Notification Center)</t>
        </is>
      </c>
      <c r="C105" s="42" t="inlineStr">
        <is>
          <t>Viết SRS ma trận sự kiện thông báo gửi đến ứng viên (push notification, email)</t>
        </is>
      </c>
      <c r="D105" s="43" t="inlineStr">
        <is>
          <t>BA</t>
        </is>
      </c>
      <c r="E105" s="43" t="inlineStr">
        <is>
          <t>Việt</t>
        </is>
      </c>
      <c r="F105" s="43" t="inlineStr">
        <is>
          <t>4 ngày</t>
        </is>
      </c>
      <c r="G105" s="44" t="n">
        <v>46280</v>
      </c>
      <c r="H105" s="44" t="n">
        <v>46283</v>
      </c>
      <c r="I105" s="46" t="n">
        <v>36893</v>
      </c>
      <c r="J105" s="45" t="n">
        <v>0</v>
      </c>
      <c r="K105" s="42" t="inlineStr">
        <is>
          <t>Ưu tiên Demo W4 (T2 28/09)</t>
        </is>
      </c>
    </row>
    <row r="106">
      <c r="A106" s="36" t="n">
        <v>37623</v>
      </c>
      <c r="B106" s="37" t="inlineStr">
        <is>
          <t>SV3: Thiết lập quyền riêng tư liên hệ</t>
        </is>
      </c>
      <c r="C106" s="37" t="inlineStr">
        <is>
          <t>Viết SRS ma trận quyền xem thông tin liên hệ (SĐT, Email, Mạng xã hội)</t>
        </is>
      </c>
      <c r="D106" s="38" t="inlineStr">
        <is>
          <t>BA</t>
        </is>
      </c>
      <c r="E106" s="38" t="inlineStr">
        <is>
          <t>Việt</t>
        </is>
      </c>
      <c r="F106" s="38" t="inlineStr">
        <is>
          <t>3 ngày</t>
        </is>
      </c>
      <c r="G106" s="39" t="n">
        <v>46281</v>
      </c>
      <c r="H106" s="39" t="n">
        <v>46283</v>
      </c>
      <c r="I106" s="36" t="n">
        <v>37258</v>
      </c>
      <c r="J106" s="40" t="n">
        <v>0</v>
      </c>
      <c r="K106" s="37" t="inlineStr">
        <is>
          <t>Ma trận quyền xem thông tin liên hệ</t>
        </is>
      </c>
    </row>
    <row r="107">
      <c r="A107" s="36" t="n">
        <v>37988</v>
      </c>
      <c r="B107" s="37" t="inlineStr">
        <is>
          <t>SV4: Khai báo trạng thái sẵn sàng tìm việc</t>
        </is>
      </c>
      <c r="C107" s="37" t="inlineStr">
        <is>
          <t>Viết SRS trạng thái 'Đang tìm việc' (Readiness) và ảnh hưởng đến thuật toán Matching</t>
        </is>
      </c>
      <c r="D107" s="38" t="inlineStr">
        <is>
          <t>BA</t>
        </is>
      </c>
      <c r="E107" s="38" t="inlineStr">
        <is>
          <t>Việt</t>
        </is>
      </c>
      <c r="F107" s="38" t="inlineStr">
        <is>
          <t>2 ngày</t>
        </is>
      </c>
      <c r="G107" s="39" t="n">
        <v>46282</v>
      </c>
      <c r="H107" s="39" t="n">
        <v>46283</v>
      </c>
      <c r="I107" s="36" t="n">
        <v>37258</v>
      </c>
      <c r="J107" s="40" t="n">
        <v>0</v>
      </c>
      <c r="K107" s="37" t="inlineStr">
        <is>
          <t>SRS trạng thái sẵn sàng tìm việc</t>
        </is>
      </c>
    </row>
    <row r="108">
      <c r="A108" s="36" t="n">
        <v>38354</v>
      </c>
      <c r="B108" s="37" t="inlineStr">
        <is>
          <t>SV5: Khám phá &amp; Tìm kiếm việc làm</t>
        </is>
      </c>
      <c r="C108" s="37" t="inlineStr">
        <is>
          <t>Viết SRS bộ lọc tìm kiếm việc làm theo ca linh hoạt, vị trí và mức lương</t>
        </is>
      </c>
      <c r="D108" s="38" t="inlineStr">
        <is>
          <t>BA</t>
        </is>
      </c>
      <c r="E108" s="38" t="inlineStr">
        <is>
          <t>Việt</t>
        </is>
      </c>
      <c r="F108" s="38" t="inlineStr">
        <is>
          <t>3 ngày</t>
        </is>
      </c>
      <c r="G108" s="39" t="n">
        <v>46283</v>
      </c>
      <c r="H108" s="39" t="n">
        <v>46285</v>
      </c>
      <c r="I108" s="36" t="n">
        <v>37258</v>
      </c>
      <c r="J108" s="40" t="n">
        <v>0</v>
      </c>
      <c r="K108" s="37" t="inlineStr">
        <is>
          <t>Bộ lọc tìm kiếm việc làm theo ca linh hoạt</t>
        </is>
      </c>
    </row>
    <row r="109">
      <c r="A109" s="36" t="n">
        <v>38719</v>
      </c>
      <c r="B109" s="37" t="inlineStr">
        <is>
          <t>SV6: Xem việc làm theo vị trí bản đồ</t>
        </is>
      </c>
      <c r="C109" s="37" t="inlineStr">
        <is>
          <t>Viết SRS định vị GPS, tính bán kính khoảng cách từ nơi ở của HS/SV đến nơi làm việc</t>
        </is>
      </c>
      <c r="D109" s="38" t="inlineStr">
        <is>
          <t>BA</t>
        </is>
      </c>
      <c r="E109" s="38" t="inlineStr">
        <is>
          <t>Việt</t>
        </is>
      </c>
      <c r="F109" s="38" t="inlineStr">
        <is>
          <t>3 ngày</t>
        </is>
      </c>
      <c r="G109" s="39" t="n">
        <v>46285</v>
      </c>
      <c r="H109" s="39" t="n">
        <v>46287</v>
      </c>
      <c r="I109" s="36" t="n">
        <v>38354</v>
      </c>
      <c r="J109" s="40" t="n">
        <v>0</v>
      </c>
      <c r="K109" s="37" t="inlineStr">
        <is>
          <t>SRS định vị GPS &amp; Bán kính khoảng cách</t>
        </is>
      </c>
    </row>
    <row r="110">
      <c r="A110" s="36" t="n">
        <v>39084</v>
      </c>
      <c r="B110" s="37" t="inlineStr">
        <is>
          <t>SV7: Nhận gợi ý việc làm phù hợp</t>
        </is>
      </c>
      <c r="C110" s="37" t="inlineStr">
        <is>
          <t>Xây dựng thuật toán Matching tin tuyển dụng với hồ sơ năng lực và lịch rảnh của HS/SV</t>
        </is>
      </c>
      <c r="D110" s="38" t="inlineStr">
        <is>
          <t>BA</t>
        </is>
      </c>
      <c r="E110" s="38" t="inlineStr">
        <is>
          <t>Việt</t>
        </is>
      </c>
      <c r="F110" s="38" t="inlineStr">
        <is>
          <t>3 ngày</t>
        </is>
      </c>
      <c r="G110" s="39" t="n">
        <v>46286</v>
      </c>
      <c r="H110" s="39" t="n">
        <v>46288</v>
      </c>
      <c r="I110" s="36" t="n">
        <v>38354</v>
      </c>
      <c r="J110" s="40" t="n">
        <v>0</v>
      </c>
      <c r="K110" s="37" t="inlineStr">
        <is>
          <t>Matching tin tuyển dụng với lịch rảnh</t>
        </is>
      </c>
    </row>
    <row r="111">
      <c r="A111" s="36" t="n">
        <v>39449</v>
      </c>
      <c r="B111" s="37" t="inlineStr">
        <is>
          <t>SV8: Ứng tuyển công việc</t>
        </is>
      </c>
      <c r="C111" s="37" t="inlineStr">
        <is>
          <t>Viết SRS quy trình nộp đơn, lưu snapshot hồ sơ ứng tuyển và chống spam nộp đơn</t>
        </is>
      </c>
      <c r="D111" s="38" t="inlineStr">
        <is>
          <t>BA</t>
        </is>
      </c>
      <c r="E111" s="38" t="inlineStr">
        <is>
          <t>Việt</t>
        </is>
      </c>
      <c r="F111" s="38" t="inlineStr">
        <is>
          <t>3 ngày</t>
        </is>
      </c>
      <c r="G111" s="39" t="n">
        <v>46287</v>
      </c>
      <c r="H111" s="39" t="n">
        <v>46289</v>
      </c>
      <c r="I111" s="36" t="n">
        <v>38354</v>
      </c>
      <c r="J111" s="40" t="n">
        <v>0</v>
      </c>
      <c r="K111" s="37" t="inlineStr">
        <is>
          <t>Quy trình nộp đơn &amp; Snapshot ứng tuyển</t>
        </is>
      </c>
    </row>
    <row r="112">
      <c r="A112" s="36" t="n">
        <v>39815</v>
      </c>
      <c r="B112" s="37" t="inlineStr">
        <is>
          <t>SV9: Nhận lời mời ứng tuyển</t>
        </is>
      </c>
      <c r="C112" s="37" t="inlineStr">
        <is>
          <t>Viết SRS luồng tiếp nhận lời mời việc, quyền chấp nhận hoặc từ chối lời mời</t>
        </is>
      </c>
      <c r="D112" s="38" t="inlineStr">
        <is>
          <t>BA</t>
        </is>
      </c>
      <c r="E112" s="38" t="inlineStr">
        <is>
          <t>Việt</t>
        </is>
      </c>
      <c r="F112" s="38" t="inlineStr">
        <is>
          <t>3 ngày</t>
        </is>
      </c>
      <c r="G112" s="39" t="n">
        <v>46288</v>
      </c>
      <c r="H112" s="39" t="n">
        <v>46290</v>
      </c>
      <c r="I112" s="36" t="n">
        <v>39449</v>
      </c>
      <c r="J112" s="40" t="n">
        <v>0</v>
      </c>
      <c r="K112" s="37" t="inlineStr">
        <is>
          <t>Luồng tiếp nhận &amp; Quyết định lời mời việc</t>
        </is>
      </c>
    </row>
    <row r="113">
      <c r="A113" s="36" t="n">
        <v>40180</v>
      </c>
      <c r="B113" s="37" t="inlineStr">
        <is>
          <t>SV10: Quản lý đơn ứng tuyển</t>
        </is>
      </c>
      <c r="C113" s="37" t="inlineStr">
        <is>
          <t>Viết SRS theo dõi trạng thái đơn ứng tuyển và quy định hủy/rút đơn nộp</t>
        </is>
      </c>
      <c r="D113" s="38" t="inlineStr">
        <is>
          <t>BA</t>
        </is>
      </c>
      <c r="E113" s="38" t="inlineStr">
        <is>
          <t>Việt</t>
        </is>
      </c>
      <c r="F113" s="38" t="inlineStr">
        <is>
          <t>3 ngày</t>
        </is>
      </c>
      <c r="G113" s="39" t="n">
        <v>46289</v>
      </c>
      <c r="H113" s="39" t="n">
        <v>46291</v>
      </c>
      <c r="I113" s="36" t="n">
        <v>39449</v>
      </c>
      <c r="J113" s="40" t="n">
        <v>0</v>
      </c>
      <c r="K113" s="37" t="inlineStr">
        <is>
          <t>Theo dõi trạng thái đơn nộp &amp; Rút đơn</t>
        </is>
      </c>
    </row>
    <row r="114">
      <c r="A114" s="36" t="n">
        <v>40545</v>
      </c>
      <c r="B114" s="37" t="inlineStr">
        <is>
          <t>SV11: Quản lý Offer</t>
        </is>
      </c>
      <c r="C114" s="37" t="inlineStr">
        <is>
          <t>Viết SRS quy trình tiếp nhận thư mời làm việc (Offer) và xác nhận điện tử</t>
        </is>
      </c>
      <c r="D114" s="38" t="inlineStr">
        <is>
          <t>BA</t>
        </is>
      </c>
      <c r="E114" s="38" t="inlineStr">
        <is>
          <t>Việt</t>
        </is>
      </c>
      <c r="F114" s="38" t="inlineStr">
        <is>
          <t>3 ngày</t>
        </is>
      </c>
      <c r="G114" s="39" t="n">
        <v>46290</v>
      </c>
      <c r="H114" s="39" t="n">
        <v>46292</v>
      </c>
      <c r="I114" s="36" t="n">
        <v>40180</v>
      </c>
      <c r="J114" s="40" t="n">
        <v>0</v>
      </c>
      <c r="K114" s="37" t="inlineStr">
        <is>
          <t>Quy trình tiếp nhận offer nhận việc</t>
        </is>
      </c>
    </row>
    <row r="115">
      <c r="A115" s="36" t="n">
        <v>40910</v>
      </c>
      <c r="B115" s="37" t="inlineStr">
        <is>
          <t>SV12: Theo dõi &amp; Tham gia Phỏng vấn</t>
        </is>
      </c>
      <c r="C115" s="37" t="inlineStr">
        <is>
          <t>Viết SRS quản lý lịch phỏng vấn cho ứng viên, cơ chế đồng bộ Google Calendar</t>
        </is>
      </c>
      <c r="D115" s="38" t="inlineStr">
        <is>
          <t>BA</t>
        </is>
      </c>
      <c r="E115" s="38" t="inlineStr">
        <is>
          <t>Việt</t>
        </is>
      </c>
      <c r="F115" s="38" t="inlineStr">
        <is>
          <t>3 ngày</t>
        </is>
      </c>
      <c r="G115" s="39" t="n">
        <v>46291</v>
      </c>
      <c r="H115" s="39" t="n">
        <v>46293</v>
      </c>
      <c r="I115" s="36" t="n">
        <v>40180</v>
      </c>
      <c r="J115" s="40" t="n">
        <v>0</v>
      </c>
      <c r="K115" s="37" t="inlineStr">
        <is>
          <t>Lịch phỏng vấn &amp; Sync Google Calendar</t>
        </is>
      </c>
    </row>
    <row r="116">
      <c r="A116" s="36" t="n">
        <v>41276</v>
      </c>
      <c r="B116" s="37" t="inlineStr">
        <is>
          <t>SV13: Nhắn tin với Nhà tuyển dụng</t>
        </is>
      </c>
      <c r="C116" s="37" t="inlineStr">
        <is>
          <t>Viết SRS kênh trao đổi trực tiếp giữa HS/SV và NTD theo ngữ cảnh hồ sơ ứng tuyển</t>
        </is>
      </c>
      <c r="D116" s="38" t="inlineStr">
        <is>
          <t>BA</t>
        </is>
      </c>
      <c r="E116" s="38" t="inlineStr">
        <is>
          <t>Việt</t>
        </is>
      </c>
      <c r="F116" s="38" t="inlineStr">
        <is>
          <t>3 ngày</t>
        </is>
      </c>
      <c r="G116" s="39" t="n">
        <v>46292</v>
      </c>
      <c r="H116" s="39" t="n">
        <v>46294</v>
      </c>
      <c r="I116" s="36" t="n">
        <v>39449</v>
      </c>
      <c r="J116" s="40" t="n">
        <v>0</v>
      </c>
      <c r="K116" s="37" t="inlineStr">
        <is>
          <t>Kênh trao đổi trực tiếp HS/SV và NTD</t>
        </is>
      </c>
    </row>
    <row r="117">
      <c r="A117" s="62" t="n"/>
      <c r="B117" s="66" t="n"/>
      <c r="C117" s="66" t="n"/>
      <c r="D117" s="62" t="n"/>
      <c r="E117" s="62" t="n"/>
      <c r="F117" s="62" t="n"/>
      <c r="G117" s="63" t="n"/>
      <c r="H117" s="63" t="n"/>
      <c r="I117" s="58" t="n"/>
      <c r="J117" s="65" t="n"/>
      <c r="K117" s="66" t="n"/>
    </row>
    <row r="118">
      <c r="A118" s="62" t="n"/>
      <c r="B118" s="66" t="n"/>
      <c r="C118" s="66" t="n"/>
      <c r="D118" s="62" t="n"/>
      <c r="E118" s="62" t="n"/>
      <c r="F118" s="62" t="n"/>
      <c r="G118" s="63" t="n"/>
      <c r="H118" s="63" t="n"/>
      <c r="I118" s="58" t="n"/>
      <c r="J118" s="65" t="n"/>
      <c r="K118" s="66" t="n"/>
    </row>
    <row r="119">
      <c r="A119" s="62" t="n"/>
      <c r="B119" s="66" t="n"/>
      <c r="C119" s="66" t="n"/>
      <c r="D119" s="62" t="n"/>
      <c r="E119" s="62" t="n"/>
      <c r="F119" s="62" t="n"/>
      <c r="G119" s="63" t="n"/>
      <c r="H119" s="63" t="n"/>
      <c r="I119" s="58" t="n"/>
      <c r="J119" s="65" t="n"/>
      <c r="K119" s="66" t="n"/>
    </row>
    <row r="120">
      <c r="A120" s="31" t="n">
        <v>46055</v>
      </c>
      <c r="B120" s="32" t="inlineStr">
        <is>
          <t>GIAI ĐOẠN 1 (W2-W5): THIẾT KẾ TRẢI NGHIỆM &amp; GIAO DIỆN (UI/UX - CHECKPOINT 1)</t>
        </is>
      </c>
      <c r="C120" s="32" t="inlineStr">
        <is>
          <t>Thiết kế giao diện tìm việc, bản đồ, chuẩn bị Prototype Demo lớp học &amp; Checkpoint 1</t>
        </is>
      </c>
      <c r="D120" s="33" t="n"/>
      <c r="E120" s="33" t="n"/>
      <c r="F120" s="33" t="inlineStr">
        <is>
          <t>21 ngày</t>
        </is>
      </c>
      <c r="G120" s="34" t="n">
        <v>46282</v>
      </c>
      <c r="H120" s="34" t="n">
        <v>46302</v>
      </c>
      <c r="I120" s="60" t="n">
        <v>46024</v>
      </c>
      <c r="J120" s="35">
        <f>AVERAGE(J121:J135)</f>
        <v/>
      </c>
      <c r="K120" s="32" t="inlineStr">
        <is>
          <t>15 đầu việc UI/UX - Phục vụ Demo &amp; Checkpoint 1 (W5)</t>
        </is>
      </c>
    </row>
    <row r="121">
      <c r="A121" s="36" t="n">
        <v>36924</v>
      </c>
      <c r="B121" s="37" t="inlineStr">
        <is>
          <t>SV1: Đăng ký, Đăng nhập &amp; Bảo mật tài khoản</t>
        </is>
      </c>
      <c r="C121" s="37" t="inlineStr">
        <is>
          <t>Thiết kế UI/UX luồng đăng ký, đăng nhập, xác thực email và đổi mật khẩu trên Mobile/Web</t>
        </is>
      </c>
      <c r="D121" s="38" t="inlineStr">
        <is>
          <t>UI/UX</t>
        </is>
      </c>
      <c r="E121" s="38" t="inlineStr">
        <is>
          <t>Ngân</t>
        </is>
      </c>
      <c r="F121" s="38" t="inlineStr">
        <is>
          <t>3 ngày</t>
        </is>
      </c>
      <c r="G121" s="39" t="n">
        <v>46282</v>
      </c>
      <c r="H121" s="39" t="n">
        <v>46284</v>
      </c>
      <c r="I121" s="36" t="n">
        <v>36893</v>
      </c>
      <c r="J121" s="40" t="n">
        <v>0</v>
      </c>
      <c r="K121" s="37" t="inlineStr">
        <is>
          <t>Flow đăng ký, đăng nhập trên Mobile/Web</t>
        </is>
      </c>
    </row>
    <row r="122">
      <c r="A122" s="36" t="n">
        <v>37289</v>
      </c>
      <c r="B122" s="37" t="inlineStr">
        <is>
          <t>SV2: Quản lý Hồ sơ tìm việc</t>
        </is>
      </c>
      <c r="C122" s="37" t="inlineStr">
        <is>
          <t>Thiết kế UI/UX trang hồ sơ cá nhân HS/SV, form chọn ca rảnh theo tuần và khu vực</t>
        </is>
      </c>
      <c r="D122" s="38" t="inlineStr">
        <is>
          <t>UI/UX</t>
        </is>
      </c>
      <c r="E122" s="38" t="inlineStr">
        <is>
          <t>Ngân</t>
        </is>
      </c>
      <c r="F122" s="38" t="inlineStr">
        <is>
          <t>3 ngày</t>
        </is>
      </c>
      <c r="G122" s="39" t="n">
        <v>46283</v>
      </c>
      <c r="H122" s="39" t="n">
        <v>46285</v>
      </c>
      <c r="I122" s="36" t="n">
        <v>37258</v>
      </c>
      <c r="J122" s="40" t="n">
        <v>0</v>
      </c>
      <c r="K122" s="37" t="inlineStr">
        <is>
          <t>Trang hồ sơ cá nhân HS/SV &amp; Chọn ca rảnh</t>
        </is>
      </c>
    </row>
    <row r="123">
      <c r="A123" s="36" t="n">
        <v>37654</v>
      </c>
      <c r="B123" s="37" t="inlineStr">
        <is>
          <t>SV3: Thiết lập quyền riêng tư liên hệ</t>
        </is>
      </c>
      <c r="C123" s="37" t="inlineStr">
        <is>
          <t>Thiết kế UI/UX màn hình cài đặt quyền riêng tư và hiển thị chế độ che số liên lạc</t>
        </is>
      </c>
      <c r="D123" s="38" t="inlineStr">
        <is>
          <t>UI/UX</t>
        </is>
      </c>
      <c r="E123" s="38" t="inlineStr">
        <is>
          <t>Ngân</t>
        </is>
      </c>
      <c r="F123" s="38" t="inlineStr">
        <is>
          <t>2 ngày</t>
        </is>
      </c>
      <c r="G123" s="39" t="n">
        <v>46284</v>
      </c>
      <c r="H123" s="39" t="n">
        <v>46285</v>
      </c>
      <c r="I123" s="36" t="n">
        <v>37623</v>
      </c>
      <c r="J123" s="40" t="n">
        <v>0</v>
      </c>
      <c r="K123" s="37" t="inlineStr">
        <is>
          <t>Màn hình cài đặt quyền riêng tư SĐT</t>
        </is>
      </c>
    </row>
    <row r="124">
      <c r="A124" s="41" t="n">
        <v>41672</v>
      </c>
      <c r="B124" s="42" t="inlineStr">
        <is>
          <t>SV14: Trang tổng quan tìm việc (Dashboard)</t>
        </is>
      </c>
      <c r="C124" s="42" t="inlineStr">
        <is>
          <t>Thiết kế UI/UX Dashboard tìm việc: thẻ đếm đơn, lịch phỏng vấn gần nhất và việc lưu</t>
        </is>
      </c>
      <c r="D124" s="43" t="inlineStr">
        <is>
          <t>UI/UX</t>
        </is>
      </c>
      <c r="E124" s="43" t="inlineStr">
        <is>
          <t>Ngân</t>
        </is>
      </c>
      <c r="F124" s="43" t="inlineStr">
        <is>
          <t>3 ngày</t>
        </is>
      </c>
      <c r="G124" s="44" t="n">
        <v>46284</v>
      </c>
      <c r="H124" s="44" t="n">
        <v>46286</v>
      </c>
      <c r="I124" s="41" t="n">
        <v>41641</v>
      </c>
      <c r="J124" s="45" t="n">
        <v>0</v>
      </c>
      <c r="K124" s="42" t="inlineStr">
        <is>
          <t>Ưu tiên Demo W4 (T2 28/09)</t>
        </is>
      </c>
    </row>
    <row r="125">
      <c r="A125" s="41" t="n">
        <v>42037</v>
      </c>
      <c r="B125" s="42" t="inlineStr">
        <is>
          <t>SV15: Thông báo (Notification Center)</t>
        </is>
      </c>
      <c r="C125" s="42" t="inlineStr">
        <is>
          <t>Thiết kế UI/UX trung tâm thông báo và thông báo đẩy (push banner) trên mobile/web</t>
        </is>
      </c>
      <c r="D125" s="43" t="inlineStr">
        <is>
          <t>UI/UX</t>
        </is>
      </c>
      <c r="E125" s="43" t="inlineStr">
        <is>
          <t>Ngân</t>
        </is>
      </c>
      <c r="F125" s="43" t="inlineStr">
        <is>
          <t>3 ngày</t>
        </is>
      </c>
      <c r="G125" s="44" t="n">
        <v>46284</v>
      </c>
      <c r="H125" s="44" t="n">
        <v>46286</v>
      </c>
      <c r="I125" s="41" t="n">
        <v>42006</v>
      </c>
      <c r="J125" s="45" t="n">
        <v>0</v>
      </c>
      <c r="K125" s="42" t="inlineStr">
        <is>
          <t>Ưu tiên Demo W4 (T2 28/09)</t>
        </is>
      </c>
    </row>
    <row r="126">
      <c r="A126" s="36" t="n">
        <v>38019</v>
      </c>
      <c r="B126" s="37" t="inlineStr">
        <is>
          <t>SV4: Khai báo trạng thái sẵn sàng tìm việc</t>
        </is>
      </c>
      <c r="C126" s="37" t="inlineStr">
        <is>
          <t>Thiết kế UI/UX nút toggle trạng thái tìm việc nổi bật và popup hướng dẫn</t>
        </is>
      </c>
      <c r="D126" s="38" t="inlineStr">
        <is>
          <t>UI/UX</t>
        </is>
      </c>
      <c r="E126" s="38" t="inlineStr">
        <is>
          <t>Ngân</t>
        </is>
      </c>
      <c r="F126" s="38" t="inlineStr">
        <is>
          <t>2 ngày</t>
        </is>
      </c>
      <c r="G126" s="39" t="n">
        <v>46285</v>
      </c>
      <c r="H126" s="39" t="n">
        <v>46286</v>
      </c>
      <c r="I126" s="36" t="n">
        <v>37988</v>
      </c>
      <c r="J126" s="40" t="n">
        <v>0</v>
      </c>
      <c r="K126" s="37" t="inlineStr">
        <is>
          <t>Nút toggle trạng thái tìm việc nổi bật</t>
        </is>
      </c>
    </row>
    <row r="127">
      <c r="A127" s="36" t="n">
        <v>38385</v>
      </c>
      <c r="B127" s="37" t="inlineStr">
        <is>
          <t>SV5: Khám phá &amp; Tìm kiếm việc làm</t>
        </is>
      </c>
      <c r="C127" s="37" t="inlineStr">
        <is>
          <t>Thiết kế UI/UX trang tìm kiếm việc làm, bộ lọc nâng cao và trang chi tiết công việc</t>
        </is>
      </c>
      <c r="D127" s="38" t="inlineStr">
        <is>
          <t>UI/UX</t>
        </is>
      </c>
      <c r="E127" s="38" t="inlineStr">
        <is>
          <t>Ngân</t>
        </is>
      </c>
      <c r="F127" s="38" t="inlineStr">
        <is>
          <t>3 ngày</t>
        </is>
      </c>
      <c r="G127" s="39" t="n">
        <v>46286</v>
      </c>
      <c r="H127" s="39" t="n">
        <v>46288</v>
      </c>
      <c r="I127" s="36" t="n">
        <v>38354</v>
      </c>
      <c r="J127" s="40" t="n">
        <v>0</v>
      </c>
      <c r="K127" s="37" t="inlineStr">
        <is>
          <t>Trang tìm kiếm việc làm &amp; Bộ lọc ca làm</t>
        </is>
      </c>
    </row>
    <row r="128">
      <c r="A128" s="36" t="n">
        <v>38750</v>
      </c>
      <c r="B128" s="37" t="inlineStr">
        <is>
          <t>SV6: Xem việc làm theo vị trí bản đồ</t>
        </is>
      </c>
      <c r="C128" s="37" t="inlineStr">
        <is>
          <t>Thiết kế UI/UX màn hình Bản đồ việc làm, marker tin tuyển dụng và popup tóm tắt tin</t>
        </is>
      </c>
      <c r="D128" s="38" t="inlineStr">
        <is>
          <t>UI/UX</t>
        </is>
      </c>
      <c r="E128" s="38" t="inlineStr">
        <is>
          <t>Ngân</t>
        </is>
      </c>
      <c r="F128" s="38" t="inlineStr">
        <is>
          <t>3 ngày</t>
        </is>
      </c>
      <c r="G128" s="39" t="n">
        <v>46288</v>
      </c>
      <c r="H128" s="39" t="n">
        <v>46290</v>
      </c>
      <c r="I128" s="36" t="n">
        <v>38719</v>
      </c>
      <c r="J128" s="40" t="n">
        <v>0</v>
      </c>
      <c r="K128" s="37" t="inlineStr">
        <is>
          <t>Màn hình Bản đồ việc làm &amp; Marker tin</t>
        </is>
      </c>
    </row>
    <row r="129">
      <c r="A129" s="36" t="n">
        <v>39115</v>
      </c>
      <c r="B129" s="37" t="inlineStr">
        <is>
          <t>SV7: Nhận gợi ý việc làm phù hợp</t>
        </is>
      </c>
      <c r="C129" s="37" t="inlineStr">
        <is>
          <t>Thiết kế UI/UX mục 'Việc làm gợi ý cho bạn', badge mức độ phù hợp (%)</t>
        </is>
      </c>
      <c r="D129" s="38" t="inlineStr">
        <is>
          <t>UI/UX</t>
        </is>
      </c>
      <c r="E129" s="38" t="inlineStr">
        <is>
          <t>Ngân</t>
        </is>
      </c>
      <c r="F129" s="38" t="inlineStr">
        <is>
          <t>3 ngày</t>
        </is>
      </c>
      <c r="G129" s="39" t="n">
        <v>46289</v>
      </c>
      <c r="H129" s="39" t="n">
        <v>46291</v>
      </c>
      <c r="I129" s="36" t="n">
        <v>39084</v>
      </c>
      <c r="J129" s="40" t="n">
        <v>0</v>
      </c>
      <c r="K129" s="37" t="inlineStr">
        <is>
          <t>Mục Việc làm gợi ý &amp; Badge độ phù hợp</t>
        </is>
      </c>
    </row>
    <row r="130">
      <c r="A130" s="36" t="n">
        <v>39480</v>
      </c>
      <c r="B130" s="37" t="inlineStr">
        <is>
          <t>SV8: Ứng tuyển công việc</t>
        </is>
      </c>
      <c r="C130" s="37" t="inlineStr">
        <is>
          <t>Thiết kế UI/UX popup xác nhận nộp đơn ứng tuyển và đính kèm thư giới thiệu</t>
        </is>
      </c>
      <c r="D130" s="38" t="inlineStr">
        <is>
          <t>UI/UX</t>
        </is>
      </c>
      <c r="E130" s="38" t="inlineStr">
        <is>
          <t>Ngân</t>
        </is>
      </c>
      <c r="F130" s="38" t="inlineStr">
        <is>
          <t>2 ngày</t>
        </is>
      </c>
      <c r="G130" s="39" t="n">
        <v>46290</v>
      </c>
      <c r="H130" s="39" t="n">
        <v>46291</v>
      </c>
      <c r="I130" s="36" t="n">
        <v>39449</v>
      </c>
      <c r="J130" s="40" t="n">
        <v>0</v>
      </c>
      <c r="K130" s="37" t="inlineStr">
        <is>
          <t>Popup xác nhận nộp đơn ứng tuyển</t>
        </is>
      </c>
    </row>
    <row r="131">
      <c r="A131" s="36" t="n">
        <v>39846</v>
      </c>
      <c r="B131" s="37" t="inlineStr">
        <is>
          <t>SV9: Nhận lời mời ứng tuyển</t>
        </is>
      </c>
      <c r="C131" s="37" t="inlineStr">
        <is>
          <t>Thiết kế UI/UX trang danh sách lời mời ứng tuyển kèm lời nhắn của nhà tuyển dụng</t>
        </is>
      </c>
      <c r="D131" s="38" t="inlineStr">
        <is>
          <t>UI/UX</t>
        </is>
      </c>
      <c r="E131" s="38" t="inlineStr">
        <is>
          <t>Ngân</t>
        </is>
      </c>
      <c r="F131" s="38" t="inlineStr">
        <is>
          <t>2 ngày</t>
        </is>
      </c>
      <c r="G131" s="39" t="n">
        <v>46291</v>
      </c>
      <c r="H131" s="39" t="n">
        <v>46292</v>
      </c>
      <c r="I131" s="36" t="n">
        <v>39815</v>
      </c>
      <c r="J131" s="40" t="n">
        <v>0</v>
      </c>
      <c r="K131" s="37" t="inlineStr">
        <is>
          <t>Trang danh sách lời mời việc làm NTD</t>
        </is>
      </c>
    </row>
    <row r="132">
      <c r="A132" s="36" t="n">
        <v>40211</v>
      </c>
      <c r="B132" s="37" t="inlineStr">
        <is>
          <t>SV10: Quản lý đơn ứng tuyển</t>
        </is>
      </c>
      <c r="C132" s="37" t="inlineStr">
        <is>
          <t>Thiết kế UI/UX trang lịch sử ứng tuyển, timeline trạng thái xử lý từng hồ sơ</t>
        </is>
      </c>
      <c r="D132" s="38" t="inlineStr">
        <is>
          <t>UI/UX</t>
        </is>
      </c>
      <c r="E132" s="38" t="inlineStr">
        <is>
          <t>Ngân</t>
        </is>
      </c>
      <c r="F132" s="38" t="inlineStr">
        <is>
          <t>3 ngày</t>
        </is>
      </c>
      <c r="G132" s="39" t="n">
        <v>46292</v>
      </c>
      <c r="H132" s="39" t="n">
        <v>46294</v>
      </c>
      <c r="I132" s="36" t="n">
        <v>40180</v>
      </c>
      <c r="J132" s="40" t="n">
        <v>0</v>
      </c>
      <c r="K132" s="37" t="inlineStr">
        <is>
          <t>Trang lịch sử ứng tuyển &amp; Timeline trạng thái</t>
        </is>
      </c>
    </row>
    <row r="133">
      <c r="A133" s="36" t="n">
        <v>40576</v>
      </c>
      <c r="B133" s="37" t="inlineStr">
        <is>
          <t>SV11: Quản lý Offer</t>
        </is>
      </c>
      <c r="C133" s="37" t="inlineStr">
        <is>
          <t>Thiết kế UI/UX trang chi tiết offer: thông tin lương thưởng, ca làm và nút phản hồi</t>
        </is>
      </c>
      <c r="D133" s="38" t="inlineStr">
        <is>
          <t>UI/UX</t>
        </is>
      </c>
      <c r="E133" s="38" t="inlineStr">
        <is>
          <t>Ngân</t>
        </is>
      </c>
      <c r="F133" s="38" t="inlineStr">
        <is>
          <t>2 ngày</t>
        </is>
      </c>
      <c r="G133" s="39" t="n">
        <v>46293</v>
      </c>
      <c r="H133" s="39" t="n">
        <v>46294</v>
      </c>
      <c r="I133" s="36" t="n">
        <v>40545</v>
      </c>
      <c r="J133" s="40" t="n">
        <v>0</v>
      </c>
      <c r="K133" s="37" t="inlineStr">
        <is>
          <t>Trang chi tiết offer &amp; Nút phản hồi nhận việc</t>
        </is>
      </c>
    </row>
    <row r="134">
      <c r="A134" s="36" t="n">
        <v>40941</v>
      </c>
      <c r="B134" s="37" t="inlineStr">
        <is>
          <t>SV12: Theo dõi &amp; Tham gia Phỏng vấn</t>
        </is>
      </c>
      <c r="C134" s="37" t="inlineStr">
        <is>
          <t>Thiết kế UI/UX thẻ lịch hẹn phỏng vấn, nút tham gia họp trực tuyến và nhắc lịch</t>
        </is>
      </c>
      <c r="D134" s="38" t="inlineStr">
        <is>
          <t>UI/UX</t>
        </is>
      </c>
      <c r="E134" s="38" t="inlineStr">
        <is>
          <t>Ngân</t>
        </is>
      </c>
      <c r="F134" s="38" t="inlineStr">
        <is>
          <t>3 ngày</t>
        </is>
      </c>
      <c r="G134" s="39" t="n">
        <v>46294</v>
      </c>
      <c r="H134" s="39" t="n">
        <v>46296</v>
      </c>
      <c r="I134" s="36" t="n">
        <v>40910</v>
      </c>
      <c r="J134" s="40" t="n">
        <v>0</v>
      </c>
      <c r="K134" s="37" t="inlineStr">
        <is>
          <t>Thẻ lịch hẹn phỏng vấn &amp; Nhắc lịch</t>
        </is>
      </c>
    </row>
    <row r="135">
      <c r="A135" s="36" t="n">
        <v>41307</v>
      </c>
      <c r="B135" s="37" t="inlineStr">
        <is>
          <t>SV13: Nhắn tin với Nhà tuyển dụng</t>
        </is>
      </c>
      <c r="C135" s="37" t="inlineStr">
        <is>
          <t>Thiết kế UI/UX khung chat thời gian thực cho ứng viên HS/SV</t>
        </is>
      </c>
      <c r="D135" s="38" t="inlineStr">
        <is>
          <t>UI/UX</t>
        </is>
      </c>
      <c r="E135" s="38" t="inlineStr">
        <is>
          <t>Ngân</t>
        </is>
      </c>
      <c r="F135" s="38" t="inlineStr">
        <is>
          <t>3 ngày</t>
        </is>
      </c>
      <c r="G135" s="39" t="n">
        <v>46295</v>
      </c>
      <c r="H135" s="39" t="n">
        <v>46297</v>
      </c>
      <c r="I135" s="36" t="n">
        <v>41276</v>
      </c>
      <c r="J135" s="40" t="n">
        <v>0</v>
      </c>
      <c r="K135" s="37" t="inlineStr">
        <is>
          <t>Khung chat thời gian thực HS/SV</t>
        </is>
      </c>
    </row>
    <row r="136">
      <c r="A136" s="62" t="n"/>
      <c r="B136" s="66" t="n"/>
      <c r="C136" s="66" t="n"/>
      <c r="D136" s="62" t="n"/>
      <c r="E136" s="62" t="n"/>
      <c r="F136" s="62" t="n"/>
      <c r="G136" s="63" t="n"/>
      <c r="H136" s="63" t="n"/>
      <c r="I136" s="58" t="n"/>
      <c r="J136" s="65" t="n"/>
      <c r="K136" s="66" t="n"/>
    </row>
    <row r="137">
      <c r="A137" s="62" t="n"/>
      <c r="B137" s="66" t="n"/>
      <c r="C137" s="66" t="n"/>
      <c r="D137" s="62" t="n"/>
      <c r="E137" s="62" t="n"/>
      <c r="F137" s="62" t="n"/>
      <c r="G137" s="63" t="n"/>
      <c r="H137" s="63" t="n"/>
      <c r="I137" s="62" t="n"/>
      <c r="J137" s="65" t="n"/>
      <c r="K137" s="66" t="n"/>
    </row>
    <row r="138">
      <c r="A138" s="62" t="n"/>
      <c r="B138" s="66" t="n"/>
      <c r="C138" s="66" t="n"/>
      <c r="D138" s="62" t="n"/>
      <c r="E138" s="62" t="n"/>
      <c r="F138" s="62" t="n"/>
      <c r="G138" s="63" t="n"/>
      <c r="H138" s="63" t="n"/>
      <c r="I138" s="58" t="n"/>
      <c r="J138" s="65" t="n"/>
      <c r="K138" s="66" t="n"/>
    </row>
    <row r="139">
      <c r="A139" s="31" t="n">
        <v>46083</v>
      </c>
      <c r="B139" s="32" t="inlineStr">
        <is>
          <t>GIAI ĐOẠN 2 &amp; 3 (W3-W9): PHÁT TRIỂN BACKEND &amp; CƠ SỞ DỮ LIỆU (DEV BE - MVP &amp; FINAL)</t>
        </is>
      </c>
      <c r="C139" s="32" t="inlineStr">
        <is>
          <t>Xây dựng API ứng viên; ưu tiên API Demo W4 (SV16-17), hoàn thiện MVP W7 và Final trước 07/11</t>
        </is>
      </c>
      <c r="D139" s="33" t="n"/>
      <c r="E139" s="33" t="n"/>
      <c r="F139" s="33" t="inlineStr">
        <is>
          <t>44 ngày</t>
        </is>
      </c>
      <c r="G139" s="34" t="n">
        <v>46287</v>
      </c>
      <c r="H139" s="34" t="n">
        <v>46330</v>
      </c>
      <c r="I139" s="33" t="inlineStr">
        <is>
          <t>2.1, 2.2</t>
        </is>
      </c>
      <c r="J139" s="35">
        <f>AVERAGE(J140:J154)</f>
        <v/>
      </c>
      <c r="K139" s="32" t="inlineStr">
        <is>
          <t>15 đầu việc BE - Ưu tiên Demo W4 (SV16-17), MVP W7 và Final trước 07/11</t>
        </is>
      </c>
    </row>
    <row r="140">
      <c r="A140" s="41" t="n">
        <v>41700</v>
      </c>
      <c r="B140" s="42" t="inlineStr">
        <is>
          <t>SV14: Trang tổng quan tìm việc (Dashboard)</t>
        </is>
      </c>
      <c r="C140" s="42" t="inlineStr">
        <is>
          <t>Phát triển API tổng hợp số liệu Dashboard tìm việc của ứng viên</t>
        </is>
      </c>
      <c r="D140" s="43" t="inlineStr">
        <is>
          <t>FO - BE</t>
        </is>
      </c>
      <c r="E140" s="43" t="inlineStr">
        <is>
          <t>Nghĩa</t>
        </is>
      </c>
      <c r="F140" s="43" t="inlineStr">
        <is>
          <t>4 ngày</t>
        </is>
      </c>
      <c r="G140" s="44" t="n">
        <v>46287</v>
      </c>
      <c r="H140" s="44" t="n">
        <v>46290</v>
      </c>
      <c r="I140" s="41" t="n">
        <v>41672</v>
      </c>
      <c r="J140" s="45" t="n">
        <v>0</v>
      </c>
      <c r="K140" s="42" t="inlineStr">
        <is>
          <t>★ Ưu tiên Demo W4 (T2 28/09)</t>
        </is>
      </c>
    </row>
    <row r="141">
      <c r="A141" s="41" t="n">
        <v>42065</v>
      </c>
      <c r="B141" s="42" t="inlineStr">
        <is>
          <t>SV15: Thông báo (Notification Center)</t>
        </is>
      </c>
      <c r="C141" s="42" t="inlineStr">
        <is>
          <t>Phát triển Service Push Notification đến ứng viên, API đánh dấu đã xem</t>
        </is>
      </c>
      <c r="D141" s="43" t="inlineStr">
        <is>
          <t>FO - BE</t>
        </is>
      </c>
      <c r="E141" s="43" t="inlineStr">
        <is>
          <t>Quang</t>
        </is>
      </c>
      <c r="F141" s="43" t="inlineStr">
        <is>
          <t>4 ngày</t>
        </is>
      </c>
      <c r="G141" s="44" t="n">
        <v>46287</v>
      </c>
      <c r="H141" s="44" t="n">
        <v>46290</v>
      </c>
      <c r="I141" s="41" t="n">
        <v>42037</v>
      </c>
      <c r="J141" s="45" t="n">
        <v>0</v>
      </c>
      <c r="K141" s="42" t="inlineStr">
        <is>
          <t>★ Ưu tiên Demo W4 (T2 28/09)</t>
        </is>
      </c>
    </row>
    <row r="142">
      <c r="A142" s="36" t="n">
        <v>36952</v>
      </c>
      <c r="B142" s="37" t="inlineStr">
        <is>
          <t>SV1: Đăng ký, Đăng nhập &amp; Bảo mật tài khoản</t>
        </is>
      </c>
      <c r="C142" s="37" t="inlineStr">
        <is>
          <t>Phát triển API đăng ký, đăng nhập ứng viên, cấp token xác thực và gửi OTP email</t>
        </is>
      </c>
      <c r="D142" s="38" t="inlineStr">
        <is>
          <t>FO - BE</t>
        </is>
      </c>
      <c r="E142" s="38" t="inlineStr">
        <is>
          <t>Quang</t>
        </is>
      </c>
      <c r="F142" s="38" t="inlineStr">
        <is>
          <t>3 ngày</t>
        </is>
      </c>
      <c r="G142" s="39" t="n">
        <v>46294</v>
      </c>
      <c r="H142" s="39" t="n">
        <v>46296</v>
      </c>
      <c r="I142" s="36" t="n">
        <v>36924</v>
      </c>
      <c r="J142" s="40" t="n">
        <v>0</v>
      </c>
      <c r="K142" s="37" t="inlineStr">
        <is>
          <t>API Auth HS/SV &amp; OTP email</t>
        </is>
      </c>
    </row>
    <row r="143">
      <c r="A143" s="36" t="n">
        <v>37317</v>
      </c>
      <c r="B143" s="37" t="inlineStr">
        <is>
          <t>SV2: Quản lý Hồ sơ tìm việc</t>
        </is>
      </c>
      <c r="C143" s="37" t="inlineStr">
        <is>
          <t>Phát triển API cập nhật thông tin cá nhân HS/SV, khung giờ rảnh và kỹ năng</t>
        </is>
      </c>
      <c r="D143" s="38" t="inlineStr">
        <is>
          <t>FO - BE</t>
        </is>
      </c>
      <c r="E143" s="38" t="inlineStr">
        <is>
          <t>Quang</t>
        </is>
      </c>
      <c r="F143" s="38" t="inlineStr">
        <is>
          <t>3 ngày</t>
        </is>
      </c>
      <c r="G143" s="39" t="n">
        <v>46295</v>
      </c>
      <c r="H143" s="39" t="n">
        <v>46297</v>
      </c>
      <c r="I143" s="36" t="n">
        <v>37289</v>
      </c>
      <c r="J143" s="40" t="n">
        <v>0</v>
      </c>
      <c r="K143" s="37" t="inlineStr">
        <is>
          <t>API Hồ sơ HS/SV &amp; Ca rảnh part-time</t>
        </is>
      </c>
    </row>
    <row r="144">
      <c r="A144" s="36" t="n">
        <v>37682</v>
      </c>
      <c r="B144" s="37" t="inlineStr">
        <is>
          <t>SV3: Thiết lập quyền riêng tư liên hệ</t>
        </is>
      </c>
      <c r="C144" s="37" t="inlineStr">
        <is>
          <t>Phát triển API cấu hình ma trận quyền riêng tư và che số liên lạc của ứng viên</t>
        </is>
      </c>
      <c r="D144" s="38" t="inlineStr">
        <is>
          <t>FO - BE</t>
        </is>
      </c>
      <c r="E144" s="38" t="inlineStr">
        <is>
          <t>Nghĩa</t>
        </is>
      </c>
      <c r="F144" s="38" t="inlineStr">
        <is>
          <t>2 ngày</t>
        </is>
      </c>
      <c r="G144" s="39" t="n">
        <v>46296</v>
      </c>
      <c r="H144" s="39" t="n">
        <v>46297</v>
      </c>
      <c r="I144" s="36" t="n">
        <v>37654</v>
      </c>
      <c r="J144" s="40" t="n">
        <v>0</v>
      </c>
      <c r="K144" s="37" t="inlineStr">
        <is>
          <t>API Cấu hình quyền riêng tư &amp; Che SĐT</t>
        </is>
      </c>
    </row>
    <row r="145">
      <c r="A145" s="36" t="n">
        <v>38048</v>
      </c>
      <c r="B145" s="37" t="inlineStr">
        <is>
          <t>SV4: Khai báo trạng thái sẵn sàng tìm việc</t>
        </is>
      </c>
      <c r="C145" s="37" t="inlineStr">
        <is>
          <t>Phát triển API cập nhật trạng thái tìm việc và cập nhật danh sách ứng viên mở</t>
        </is>
      </c>
      <c r="D145" s="38" t="inlineStr">
        <is>
          <t>FO - BE</t>
        </is>
      </c>
      <c r="E145" s="38" t="inlineStr">
        <is>
          <t>Nghĩa</t>
        </is>
      </c>
      <c r="F145" s="38" t="inlineStr">
        <is>
          <t>2 ngày</t>
        </is>
      </c>
      <c r="G145" s="39" t="n">
        <v>46297</v>
      </c>
      <c r="H145" s="39" t="n">
        <v>46298</v>
      </c>
      <c r="I145" s="36" t="n">
        <v>38019</v>
      </c>
      <c r="J145" s="40" t="n">
        <v>0</v>
      </c>
      <c r="K145" s="37" t="inlineStr">
        <is>
          <t>API Cập nhật trạng thái đang tìm việc</t>
        </is>
      </c>
    </row>
    <row r="146">
      <c r="A146" s="36" t="n">
        <v>38413</v>
      </c>
      <c r="B146" s="37" t="inlineStr">
        <is>
          <t>SV5: Khám phá &amp; Tìm kiếm việc làm</t>
        </is>
      </c>
      <c r="C146" s="37" t="inlineStr">
        <is>
          <t>Phát triển API tìm kiếm, lọc tin tuyển dụng và API chi tiết công việc đang mở</t>
        </is>
      </c>
      <c r="D146" s="38" t="inlineStr">
        <is>
          <t>FO - BE</t>
        </is>
      </c>
      <c r="E146" s="38" t="inlineStr">
        <is>
          <t>Nghĩa</t>
        </is>
      </c>
      <c r="F146" s="38" t="inlineStr">
        <is>
          <t>3 ngày</t>
        </is>
      </c>
      <c r="G146" s="39" t="n">
        <v>46298</v>
      </c>
      <c r="H146" s="39" t="n">
        <v>46300</v>
      </c>
      <c r="I146" s="36" t="n">
        <v>38385</v>
      </c>
      <c r="J146" s="40" t="n">
        <v>0</v>
      </c>
      <c r="K146" s="37" t="inlineStr">
        <is>
          <t>API Tìm kiếm &amp; Lọc việc làm theo ca</t>
        </is>
      </c>
    </row>
    <row r="147">
      <c r="A147" s="36" t="n">
        <v>38778</v>
      </c>
      <c r="B147" s="37" t="inlineStr">
        <is>
          <t>SV6: Xem việc làm theo vị trí bản đồ</t>
        </is>
      </c>
      <c r="C147" s="37" t="inlineStr">
        <is>
          <t>Phát triển API truy vấn công việc theo bán kính địa lý (Geo-query) và tọa độ</t>
        </is>
      </c>
      <c r="D147" s="38" t="inlineStr">
        <is>
          <t>FO - BE</t>
        </is>
      </c>
      <c r="E147" s="38" t="inlineStr">
        <is>
          <t>Quang</t>
        </is>
      </c>
      <c r="F147" s="38" t="inlineStr">
        <is>
          <t>3 ngày</t>
        </is>
      </c>
      <c r="G147" s="39" t="n">
        <v>46300</v>
      </c>
      <c r="H147" s="39" t="n">
        <v>46302</v>
      </c>
      <c r="I147" s="36" t="n">
        <v>38750</v>
      </c>
      <c r="J147" s="40" t="n">
        <v>0</v>
      </c>
      <c r="K147" s="37" t="inlineStr">
        <is>
          <t>API Geo-query bán kính &amp; Tọa độ bản đồ</t>
        </is>
      </c>
    </row>
    <row r="148">
      <c r="A148" s="36" t="n">
        <v>39143</v>
      </c>
      <c r="B148" s="37" t="inlineStr">
        <is>
          <t>SV7: Nhận gợi ý việc làm phù hợp</t>
        </is>
      </c>
      <c r="C148" s="37" t="inlineStr">
        <is>
          <t>Phát triển API gợi ý việc làm cá nhân hóa theo hồ sơ và hành vi tìm kiếm</t>
        </is>
      </c>
      <c r="D148" s="38" t="inlineStr">
        <is>
          <t>FO - BE</t>
        </is>
      </c>
      <c r="E148" s="38" t="inlineStr">
        <is>
          <t>Nghĩa</t>
        </is>
      </c>
      <c r="F148" s="38" t="inlineStr">
        <is>
          <t>3 ngày</t>
        </is>
      </c>
      <c r="G148" s="39" t="n">
        <v>46302</v>
      </c>
      <c r="H148" s="39" t="n">
        <v>46304</v>
      </c>
      <c r="I148" s="36" t="n">
        <v>39115</v>
      </c>
      <c r="J148" s="40" t="n">
        <v>0</v>
      </c>
      <c r="K148" s="37" t="inlineStr">
        <is>
          <t>API Matching việc làm cá nhân hóa HS/SV</t>
        </is>
      </c>
    </row>
    <row r="149">
      <c r="A149" s="36" t="n">
        <v>39509</v>
      </c>
      <c r="B149" s="37" t="inlineStr">
        <is>
          <t>SV8: Ứng tuyển công việc</t>
        </is>
      </c>
      <c r="C149" s="37" t="inlineStr">
        <is>
          <t>Phát triển API nộp đơn ứng tuyển, kiểm tra điều kiện ứng tuyển và ghi nhận snapshot</t>
        </is>
      </c>
      <c r="D149" s="38" t="inlineStr">
        <is>
          <t>FO - BE</t>
        </is>
      </c>
      <c r="E149" s="38" t="inlineStr">
        <is>
          <t>Nghĩa</t>
        </is>
      </c>
      <c r="F149" s="38" t="inlineStr">
        <is>
          <t>3 ngày</t>
        </is>
      </c>
      <c r="G149" s="39" t="n">
        <v>46304</v>
      </c>
      <c r="H149" s="39" t="n">
        <v>46306</v>
      </c>
      <c r="I149" s="36" t="n">
        <v>39480</v>
      </c>
      <c r="J149" s="40" t="n">
        <v>0</v>
      </c>
      <c r="K149" s="37" t="inlineStr">
        <is>
          <t>API Nộp đơn ứng tuyển &amp; Snapshot hồ sơ</t>
        </is>
      </c>
    </row>
    <row r="150">
      <c r="A150" s="36" t="n">
        <v>39874</v>
      </c>
      <c r="B150" s="37" t="inlineStr">
        <is>
          <t>SV9: Nhận lời mời ứng tuyển</t>
        </is>
      </c>
      <c r="C150" s="37" t="inlineStr">
        <is>
          <t>Phát triển API lấy danh sách lời mời và API phản hồi (Đồng ý ứng tuyển / Bỏ qua)</t>
        </is>
      </c>
      <c r="D150" s="38" t="inlineStr">
        <is>
          <t>FO - BE</t>
        </is>
      </c>
      <c r="E150" s="38" t="inlineStr">
        <is>
          <t>Nghĩa</t>
        </is>
      </c>
      <c r="F150" s="38" t="inlineStr">
        <is>
          <t>3 ngày</t>
        </is>
      </c>
      <c r="G150" s="39" t="n">
        <v>46306</v>
      </c>
      <c r="H150" s="39" t="n">
        <v>46308</v>
      </c>
      <c r="I150" s="36" t="n">
        <v>39846</v>
      </c>
      <c r="J150" s="40" t="n">
        <v>0</v>
      </c>
      <c r="K150" s="37" t="inlineStr">
        <is>
          <t>API Lấy danh sách &amp; Phản hồi lời mời việc</t>
        </is>
      </c>
    </row>
    <row r="151">
      <c r="A151" s="36" t="n">
        <v>40239</v>
      </c>
      <c r="B151" s="37" t="inlineStr">
        <is>
          <t>SV10: Quản lý đơn ứng tuyển</t>
        </is>
      </c>
      <c r="C151" s="37" t="inlineStr">
        <is>
          <t>Phát triển API truy vấn danh sách đơn đã nộp, tiến trình và API rút hồ sơ</t>
        </is>
      </c>
      <c r="D151" s="38" t="inlineStr">
        <is>
          <t>FO - BE</t>
        </is>
      </c>
      <c r="E151" s="38" t="inlineStr">
        <is>
          <t>Quang</t>
        </is>
      </c>
      <c r="F151" s="38" t="inlineStr">
        <is>
          <t>3 ngày</t>
        </is>
      </c>
      <c r="G151" s="39" t="n">
        <v>46308</v>
      </c>
      <c r="H151" s="39" t="n">
        <v>46310</v>
      </c>
      <c r="I151" s="36" t="n">
        <v>40211</v>
      </c>
      <c r="J151" s="40" t="n">
        <v>0</v>
      </c>
      <c r="K151" s="37" t="inlineStr">
        <is>
          <t>API Quản lý đơn đã nộp &amp; Rút hồ sơ</t>
        </is>
      </c>
    </row>
    <row r="152">
      <c r="A152" s="36" t="n">
        <v>40604</v>
      </c>
      <c r="B152" s="37" t="inlineStr">
        <is>
          <t>SV11: Quản lý Offer</t>
        </is>
      </c>
      <c r="C152" s="37" t="inlineStr">
        <is>
          <t>Phát triển API xem chi tiết offer và API gửi phản hồi (Chấp nhận / Từ chối kèm lý do)</t>
        </is>
      </c>
      <c r="D152" s="38" t="inlineStr">
        <is>
          <t>FO - BE</t>
        </is>
      </c>
      <c r="E152" s="38" t="inlineStr">
        <is>
          <t>Quang</t>
        </is>
      </c>
      <c r="F152" s="38" t="inlineStr">
        <is>
          <t>3 ngày</t>
        </is>
      </c>
      <c r="G152" s="39" t="n">
        <v>46310</v>
      </c>
      <c r="H152" s="39" t="n">
        <v>46312</v>
      </c>
      <c r="I152" s="36" t="n">
        <v>40576</v>
      </c>
      <c r="J152" s="40" t="n">
        <v>0</v>
      </c>
      <c r="K152" s="37" t="inlineStr">
        <is>
          <t>API Xem chi tiết &amp; Phản hồi offer nhận việc</t>
        </is>
      </c>
    </row>
    <row r="153">
      <c r="A153" s="36" t="n">
        <v>40970</v>
      </c>
      <c r="B153" s="37" t="inlineStr">
        <is>
          <t>SV12: Theo dõi &amp; Tham gia Phỏng vấn</t>
        </is>
      </c>
      <c r="C153" s="37" t="inlineStr">
        <is>
          <t>Phát triển API lấy danh sách lịch hẹn phỏng vấn sắp tới và cập nhật xác nhận tham gia</t>
        </is>
      </c>
      <c r="D153" s="38" t="inlineStr">
        <is>
          <t>FO - BE</t>
        </is>
      </c>
      <c r="E153" s="38" t="inlineStr">
        <is>
          <t>Quang</t>
        </is>
      </c>
      <c r="F153" s="38" t="inlineStr">
        <is>
          <t>3 ngày</t>
        </is>
      </c>
      <c r="G153" s="39" t="n">
        <v>46312</v>
      </c>
      <c r="H153" s="39" t="n">
        <v>46314</v>
      </c>
      <c r="I153" s="36" t="n">
        <v>40941</v>
      </c>
      <c r="J153" s="40" t="n">
        <v>0</v>
      </c>
      <c r="K153" s="37" t="inlineStr">
        <is>
          <t>API Lịch phỏng vấn &amp; Xác nhận tham gia</t>
        </is>
      </c>
    </row>
    <row r="154">
      <c r="A154" s="36" t="n">
        <v>41335</v>
      </c>
      <c r="B154" s="37" t="inlineStr">
        <is>
          <t>SV13: Nhắn tin với Nhà tuyển dụng</t>
        </is>
      </c>
      <c r="C154" s="37" t="inlineStr">
        <is>
          <t>Phát triển WebSocket chat cho ứng viên, API gửi/nhận tin nhắn và lịch sử trò chuyện</t>
        </is>
      </c>
      <c r="D154" s="38" t="inlineStr">
        <is>
          <t>FO - BE</t>
        </is>
      </c>
      <c r="E154" s="38" t="inlineStr">
        <is>
          <t>Nghĩa</t>
        </is>
      </c>
      <c r="F154" s="38" t="inlineStr">
        <is>
          <t>3 ngày</t>
        </is>
      </c>
      <c r="G154" s="39" t="n">
        <v>46314</v>
      </c>
      <c r="H154" s="39" t="n">
        <v>46316</v>
      </c>
      <c r="I154" s="36" t="n">
        <v>41307</v>
      </c>
      <c r="J154" s="40" t="n">
        <v>0</v>
      </c>
      <c r="K154" s="37" t="inlineStr">
        <is>
          <t>WebSocket Chat ứng viên HS/SV</t>
        </is>
      </c>
    </row>
    <row r="155">
      <c r="A155" s="62" t="n"/>
      <c r="B155" s="66" t="n"/>
      <c r="C155" s="66" t="n"/>
      <c r="D155" s="62" t="n"/>
      <c r="E155" s="62" t="n"/>
      <c r="F155" s="62" t="n"/>
      <c r="G155" s="63" t="n"/>
      <c r="H155" s="63" t="n"/>
      <c r="I155" s="67" t="n"/>
      <c r="J155" s="65" t="n"/>
      <c r="K155" s="66" t="n"/>
    </row>
    <row r="156">
      <c r="A156" s="62" t="n"/>
      <c r="B156" s="66" t="n"/>
      <c r="C156" s="66" t="n"/>
      <c r="D156" s="62" t="n"/>
      <c r="E156" s="62" t="n"/>
      <c r="F156" s="62" t="n"/>
      <c r="G156" s="63" t="n"/>
      <c r="H156" s="63" t="n"/>
      <c r="I156" s="67" t="n"/>
      <c r="J156" s="65" t="n"/>
      <c r="K156" s="66" t="n"/>
    </row>
    <row r="157">
      <c r="A157" s="62" t="n"/>
      <c r="B157" s="66" t="n"/>
      <c r="C157" s="66" t="n"/>
      <c r="D157" s="62" t="n"/>
      <c r="E157" s="62" t="n"/>
      <c r="F157" s="62" t="n"/>
      <c r="G157" s="63" t="n"/>
      <c r="H157" s="63" t="n"/>
      <c r="I157" s="67" t="n"/>
      <c r="J157" s="65" t="n"/>
      <c r="K157" s="66" t="n"/>
    </row>
    <row r="158">
      <c r="A158" s="31" t="n">
        <v>46114</v>
      </c>
      <c r="B158" s="32" t="inlineStr">
        <is>
          <t>GIAI ĐOẠN 2 &amp; 3 (W3-W9): PHÁT TRIỂN GIAO DIỆN &amp; TÍCH HỢP (DEV FE - MVP &amp; FINAL)</t>
        </is>
      </c>
      <c r="C158" s="32" t="inlineStr">
        <is>
          <t>Xây dựng giao diện HS/SV; ưu tiên Demo W4 (SV16-17), hoàn thiện MVP W7 và Final trước 07/11</t>
        </is>
      </c>
      <c r="D158" s="33" t="n"/>
      <c r="E158" s="33" t="n"/>
      <c r="F158" s="33" t="inlineStr">
        <is>
          <t>44 ngày</t>
        </is>
      </c>
      <c r="G158" s="34" t="n">
        <v>46289</v>
      </c>
      <c r="H158" s="34" t="n">
        <v>46332</v>
      </c>
      <c r="I158" s="33" t="inlineStr">
        <is>
          <t>2.2, 2.3</t>
        </is>
      </c>
      <c r="J158" s="35">
        <f>AVERAGE(J159:J173)</f>
        <v/>
      </c>
      <c r="K158" s="32" t="inlineStr">
        <is>
          <t>15 đầu việc FE - Ưu tiên Demo W4 (SV16-17), MVP W7 và Final trước 07/11</t>
        </is>
      </c>
    </row>
    <row r="159">
      <c r="A159" s="41" t="n">
        <v>41731</v>
      </c>
      <c r="B159" s="42" t="inlineStr">
        <is>
          <t>SV14: Trang tổng quan tìm việc (Dashboard)</t>
        </is>
      </c>
      <c r="C159" s="42" t="inlineStr">
        <is>
          <t>Phát triển giao diện Dashboard cá nhân cho HS/SV trên Kênh người tìm việc</t>
        </is>
      </c>
      <c r="D159" s="43" t="inlineStr">
        <is>
          <t>FO - FE</t>
        </is>
      </c>
      <c r="E159" s="43" t="inlineStr">
        <is>
          <t>Kiên</t>
        </is>
      </c>
      <c r="F159" s="43" t="inlineStr">
        <is>
          <t>4 ngày</t>
        </is>
      </c>
      <c r="G159" s="44" t="n">
        <v>46289</v>
      </c>
      <c r="H159" s="44" t="n">
        <v>46292</v>
      </c>
      <c r="I159" s="41" t="n">
        <v>41700</v>
      </c>
      <c r="J159" s="45" t="n">
        <v>0</v>
      </c>
      <c r="K159" s="42" t="inlineStr">
        <is>
          <t>★ Ưu tiên Demo W4 (T2 28/09)</t>
        </is>
      </c>
    </row>
    <row r="160">
      <c r="A160" s="41" t="n">
        <v>42096</v>
      </c>
      <c r="B160" s="42" t="inlineStr">
        <is>
          <t>SV15: Thông báo (Notification Center)</t>
        </is>
      </c>
      <c r="C160" s="42" t="inlineStr">
        <is>
          <t>Phát triển giao diện Notification Center và bộ lọc thông báo trên Kênh HS/SV</t>
        </is>
      </c>
      <c r="D160" s="43" t="inlineStr">
        <is>
          <t>FO - FE</t>
        </is>
      </c>
      <c r="E160" s="43" t="inlineStr">
        <is>
          <t>Kiên</t>
        </is>
      </c>
      <c r="F160" s="43" t="inlineStr">
        <is>
          <t>4 ngày</t>
        </is>
      </c>
      <c r="G160" s="44" t="n">
        <v>46289</v>
      </c>
      <c r="H160" s="44" t="n">
        <v>46292</v>
      </c>
      <c r="I160" s="41" t="n">
        <v>42065</v>
      </c>
      <c r="J160" s="45" t="n">
        <v>0</v>
      </c>
      <c r="K160" s="42" t="inlineStr">
        <is>
          <t>★ Ưu tiên Demo W4 (T2 28/09)</t>
        </is>
      </c>
    </row>
    <row r="161">
      <c r="A161" s="36" t="n">
        <v>36983</v>
      </c>
      <c r="B161" s="37" t="inlineStr">
        <is>
          <t>SV1: Đăng ký, Đăng nhập &amp; Bảo mật tài khoản</t>
        </is>
      </c>
      <c r="C161" s="37" t="inlineStr">
        <is>
          <t>Phát triển giao diện đăng ký, đăng nhập ứng viên, xác thực OTP email và đổi mật khẩu</t>
        </is>
      </c>
      <c r="D161" s="38" t="inlineStr">
        <is>
          <t>FO - FE</t>
        </is>
      </c>
      <c r="E161" s="38" t="inlineStr">
        <is>
          <t>Kiên</t>
        </is>
      </c>
      <c r="F161" s="38" t="inlineStr">
        <is>
          <t>3 ngày</t>
        </is>
      </c>
      <c r="G161" s="39" t="n">
        <v>46296</v>
      </c>
      <c r="H161" s="39" t="n">
        <v>46298</v>
      </c>
      <c r="I161" s="36" t="n">
        <v>36952</v>
      </c>
      <c r="J161" s="40" t="n">
        <v>0</v>
      </c>
      <c r="K161" s="37" t="inlineStr">
        <is>
          <t>Giao diện Đăng ký, Đăng nhập, OTP email</t>
        </is>
      </c>
    </row>
    <row r="162">
      <c r="A162" s="36" t="n">
        <v>37348</v>
      </c>
      <c r="B162" s="37" t="inlineStr">
        <is>
          <t>SV2: Quản lý Hồ sơ tìm việc</t>
        </is>
      </c>
      <c r="C162" s="37" t="inlineStr">
        <is>
          <t>Phát triển giao diện hồ sơ cá nhân HS/SV, form chọn ca rảnh theo tuần và khu vực</t>
        </is>
      </c>
      <c r="D162" s="38" t="inlineStr">
        <is>
          <t>FO - FE</t>
        </is>
      </c>
      <c r="E162" s="38" t="inlineStr">
        <is>
          <t>Kiên</t>
        </is>
      </c>
      <c r="F162" s="38" t="inlineStr">
        <is>
          <t>3 ngày</t>
        </is>
      </c>
      <c r="G162" s="39" t="n">
        <v>46297</v>
      </c>
      <c r="H162" s="39" t="n">
        <v>46299</v>
      </c>
      <c r="I162" s="36" t="n">
        <v>37317</v>
      </c>
      <c r="J162" s="40" t="n">
        <v>0</v>
      </c>
      <c r="K162" s="37" t="inlineStr">
        <is>
          <t>Form hồ sơ HS/SV &amp; Chọn ca rảnh tuần</t>
        </is>
      </c>
    </row>
    <row r="163">
      <c r="A163" s="36" t="n">
        <v>37713</v>
      </c>
      <c r="B163" s="37" t="inlineStr">
        <is>
          <t>SV3: Thiết lập quyền riêng tư liên hệ</t>
        </is>
      </c>
      <c r="C163" s="37" t="inlineStr">
        <is>
          <t>Phát triển giao diện cài đặt quyền riêng tư và hiển thị chế độ bảo mật liên lạc</t>
        </is>
      </c>
      <c r="D163" s="38" t="inlineStr">
        <is>
          <t>FO - FE</t>
        </is>
      </c>
      <c r="E163" s="38" t="inlineStr">
        <is>
          <t>Việt</t>
        </is>
      </c>
      <c r="F163" s="38" t="inlineStr">
        <is>
          <t>2 ngày</t>
        </is>
      </c>
      <c r="G163" s="39" t="n">
        <v>46298</v>
      </c>
      <c r="H163" s="39" t="n">
        <v>46299</v>
      </c>
      <c r="I163" s="36" t="n">
        <v>37682</v>
      </c>
      <c r="J163" s="40" t="n">
        <v>0</v>
      </c>
      <c r="K163" s="37" t="inlineStr">
        <is>
          <t>Giao diện cài đặt bảo mật liên lạc HS/SV</t>
        </is>
      </c>
    </row>
    <row r="164">
      <c r="A164" s="36" t="n">
        <v>38079</v>
      </c>
      <c r="B164" s="37" t="inlineStr">
        <is>
          <t>SV4: Khai báo trạng thái sẵn sàng tìm việc</t>
        </is>
      </c>
      <c r="C164" s="37" t="inlineStr">
        <is>
          <t>Phát triển switch trạng thái tìm việc trên trang cá nhân/dashboard HS/SV</t>
        </is>
      </c>
      <c r="D164" s="38" t="inlineStr">
        <is>
          <t>FO - FE</t>
        </is>
      </c>
      <c r="E164" s="38" t="inlineStr">
        <is>
          <t>Việt</t>
        </is>
      </c>
      <c r="F164" s="38" t="inlineStr">
        <is>
          <t>2 ngày</t>
        </is>
      </c>
      <c r="G164" s="39" t="n">
        <v>46299</v>
      </c>
      <c r="H164" s="39" t="n">
        <v>46300</v>
      </c>
      <c r="I164" s="36" t="n">
        <v>38048</v>
      </c>
      <c r="J164" s="40" t="n">
        <v>0</v>
      </c>
      <c r="K164" s="37" t="inlineStr">
        <is>
          <t>Switch trạng thái tìm việc trên profile</t>
        </is>
      </c>
    </row>
    <row r="165">
      <c r="A165" s="36" t="n">
        <v>38444</v>
      </c>
      <c r="B165" s="37" t="inlineStr">
        <is>
          <t>SV5: Khám phá &amp; Tìm kiếm việc làm</t>
        </is>
      </c>
      <c r="C165" s="37" t="inlineStr">
        <is>
          <t>Phát triển giao diện tìm kiếm việc làm, thanh lọc đa tiêu chí và trang chi tiết tin</t>
        </is>
      </c>
      <c r="D165" s="38" t="inlineStr">
        <is>
          <t>FO - FE</t>
        </is>
      </c>
      <c r="E165" s="38" t="inlineStr">
        <is>
          <t>Kiên</t>
        </is>
      </c>
      <c r="F165" s="38" t="inlineStr">
        <is>
          <t>3 ngày</t>
        </is>
      </c>
      <c r="G165" s="39" t="n">
        <v>46300</v>
      </c>
      <c r="H165" s="39" t="n">
        <v>46302</v>
      </c>
      <c r="I165" s="36" t="n">
        <v>38413</v>
      </c>
      <c r="J165" s="40" t="n">
        <v>0</v>
      </c>
      <c r="K165" s="37" t="inlineStr">
        <is>
          <t>Giao diện tìm việc &amp; Thanh lọc đa tiêu chí</t>
        </is>
      </c>
    </row>
    <row r="166">
      <c r="A166" s="36" t="n">
        <v>38809</v>
      </c>
      <c r="B166" s="37" t="inlineStr">
        <is>
          <t>SV6: Xem việc làm theo vị trí bản đồ</t>
        </is>
      </c>
      <c r="C166" s="37" t="inlineStr">
        <is>
          <t>Tích hợp Mapbox/Google Maps hiển thị cụm vị trí việc làm và chỉ dẫn đường đi</t>
        </is>
      </c>
      <c r="D166" s="38" t="inlineStr">
        <is>
          <t>FO - FE</t>
        </is>
      </c>
      <c r="E166" s="38" t="inlineStr">
        <is>
          <t>Quang</t>
        </is>
      </c>
      <c r="F166" s="38" t="inlineStr">
        <is>
          <t>3 ngày</t>
        </is>
      </c>
      <c r="G166" s="39" t="n">
        <v>46302</v>
      </c>
      <c r="H166" s="39" t="n">
        <v>46304</v>
      </c>
      <c r="I166" s="36" t="n">
        <v>38778</v>
      </c>
      <c r="J166" s="40" t="n">
        <v>0</v>
      </c>
      <c r="K166" s="37" t="inlineStr">
        <is>
          <t>Tích hợp Mapbox/Google Maps vị trí việc làm</t>
        </is>
      </c>
    </row>
    <row r="167">
      <c r="A167" s="36" t="n">
        <v>39174</v>
      </c>
      <c r="B167" s="37" t="inlineStr">
        <is>
          <t>SV7: Nhận gợi ý việc làm phù hợp</t>
        </is>
      </c>
      <c r="C167" s="37" t="inlineStr">
        <is>
          <t>Phát triển component danh sách việc làm phù hợp trên trang chủ HS/SV</t>
        </is>
      </c>
      <c r="D167" s="38" t="inlineStr">
        <is>
          <t>FO - FE</t>
        </is>
      </c>
      <c r="E167" s="38" t="inlineStr">
        <is>
          <t>Kiên</t>
        </is>
      </c>
      <c r="F167" s="38" t="inlineStr">
        <is>
          <t>3 ngày</t>
        </is>
      </c>
      <c r="G167" s="39" t="n">
        <v>46304</v>
      </c>
      <c r="H167" s="39" t="n">
        <v>46306</v>
      </c>
      <c r="I167" s="36" t="n">
        <v>39143</v>
      </c>
      <c r="J167" s="40" t="n">
        <v>0</v>
      </c>
      <c r="K167" s="37" t="inlineStr">
        <is>
          <t>Component danh sách việc làm phù hợp trang chủ</t>
        </is>
      </c>
    </row>
    <row r="168">
      <c r="A168" s="36" t="n">
        <v>39540</v>
      </c>
      <c r="B168" s="37" t="inlineStr">
        <is>
          <t>SV8: Ứng tuyển công việc</t>
        </is>
      </c>
      <c r="C168" s="37" t="inlineStr">
        <is>
          <t>Phát triển giao diện nút ứng tuyển nhanh và modal nhập thư nguyện vọng ngắn</t>
        </is>
      </c>
      <c r="D168" s="38" t="inlineStr">
        <is>
          <t>FO - FE</t>
        </is>
      </c>
      <c r="E168" s="38" t="inlineStr">
        <is>
          <t>Kiên</t>
        </is>
      </c>
      <c r="F168" s="38" t="inlineStr">
        <is>
          <t>3 ngày</t>
        </is>
      </c>
      <c r="G168" s="39" t="n">
        <v>46306</v>
      </c>
      <c r="H168" s="39" t="n">
        <v>46308</v>
      </c>
      <c r="I168" s="36" t="n">
        <v>39509</v>
      </c>
      <c r="J168" s="40" t="n">
        <v>0</v>
      </c>
      <c r="K168" s="37" t="inlineStr">
        <is>
          <t>Giao diện nút ứng tuyển nhanh &amp; Modal nguyện vọng</t>
        </is>
      </c>
    </row>
    <row r="169">
      <c r="A169" s="36" t="n">
        <v>39905</v>
      </c>
      <c r="B169" s="37" t="inlineStr">
        <is>
          <t>SV9: Nhận lời mời ứng tuyển</t>
        </is>
      </c>
      <c r="C169" s="37" t="inlineStr">
        <is>
          <t>Phát triển giao diện danh sách lời mời việc làm và thao tác phản hồi nhanh</t>
        </is>
      </c>
      <c r="D169" s="38" t="inlineStr">
        <is>
          <t>FO - FE</t>
        </is>
      </c>
      <c r="E169" s="38" t="inlineStr">
        <is>
          <t>Việt</t>
        </is>
      </c>
      <c r="F169" s="38" t="inlineStr">
        <is>
          <t>2 ngày</t>
        </is>
      </c>
      <c r="G169" s="39" t="n">
        <v>46308</v>
      </c>
      <c r="H169" s="39" t="n">
        <v>46309</v>
      </c>
      <c r="I169" s="36" t="n">
        <v>39874</v>
      </c>
      <c r="J169" s="40" t="n">
        <v>0</v>
      </c>
      <c r="K169" s="37" t="inlineStr">
        <is>
          <t>Danh sách lời mời việc làm &amp; Phản hồi nhanh</t>
        </is>
      </c>
    </row>
    <row r="170">
      <c r="A170" s="36" t="n">
        <v>40270</v>
      </c>
      <c r="B170" s="37" t="inlineStr">
        <is>
          <t>SV10: Quản lý đơn ứng tuyển</t>
        </is>
      </c>
      <c r="C170" s="37" t="inlineStr">
        <is>
          <t>Phát triển giao diện quản lý đơn ứng tuyển, timeline trạng thái và nút rút đơn</t>
        </is>
      </c>
      <c r="D170" s="38" t="inlineStr">
        <is>
          <t>FO - FE</t>
        </is>
      </c>
      <c r="E170" s="38" t="inlineStr">
        <is>
          <t>Quang</t>
        </is>
      </c>
      <c r="F170" s="38" t="inlineStr">
        <is>
          <t>3 ngày</t>
        </is>
      </c>
      <c r="G170" s="39" t="n">
        <v>46309</v>
      </c>
      <c r="H170" s="39" t="n">
        <v>46311</v>
      </c>
      <c r="I170" s="36" t="n">
        <v>40239</v>
      </c>
      <c r="J170" s="40" t="n">
        <v>0</v>
      </c>
      <c r="K170" s="37" t="inlineStr">
        <is>
          <t>Giao diện quản lý đơn ứng tuyển &amp; Timeline</t>
        </is>
      </c>
    </row>
    <row r="171">
      <c r="A171" s="36" t="n">
        <v>40635</v>
      </c>
      <c r="B171" s="37" t="inlineStr">
        <is>
          <t>SV11: Quản lý Offer</t>
        </is>
      </c>
      <c r="C171" s="37" t="inlineStr">
        <is>
          <t>Phát triển giao diện xem chi tiết offer và popup xác nhận phản hồi nhận việc</t>
        </is>
      </c>
      <c r="D171" s="38" t="inlineStr">
        <is>
          <t>FO - FE</t>
        </is>
      </c>
      <c r="E171" s="38" t="inlineStr">
        <is>
          <t>Kiên</t>
        </is>
      </c>
      <c r="F171" s="38" t="inlineStr">
        <is>
          <t>3 ngày</t>
        </is>
      </c>
      <c r="G171" s="39" t="n">
        <v>46311</v>
      </c>
      <c r="H171" s="39" t="n">
        <v>46313</v>
      </c>
      <c r="I171" s="36" t="n">
        <v>40604</v>
      </c>
      <c r="J171" s="40" t="n">
        <v>0</v>
      </c>
      <c r="K171" s="37" t="inlineStr">
        <is>
          <t>Xem chi tiết offer &amp; Xác nhận nhận việc</t>
        </is>
      </c>
    </row>
    <row r="172">
      <c r="A172" s="36" t="n">
        <v>41001</v>
      </c>
      <c r="B172" s="37" t="inlineStr">
        <is>
          <t>SV12: Theo dõi &amp; Tham gia Phỏng vấn</t>
        </is>
      </c>
      <c r="C172" s="37" t="inlineStr">
        <is>
          <t>Phát triển giao diện lịch biểu phỏng vấn và tích hợp mở link phòng họp trực tuyến</t>
        </is>
      </c>
      <c r="D172" s="38" t="inlineStr">
        <is>
          <t>FO - FE</t>
        </is>
      </c>
      <c r="E172" s="38" t="inlineStr">
        <is>
          <t>Quang</t>
        </is>
      </c>
      <c r="F172" s="38" t="inlineStr">
        <is>
          <t>3 ngày</t>
        </is>
      </c>
      <c r="G172" s="39" t="n">
        <v>46313</v>
      </c>
      <c r="H172" s="39" t="n">
        <v>46315</v>
      </c>
      <c r="I172" s="36" t="n">
        <v>40970</v>
      </c>
      <c r="J172" s="40" t="n">
        <v>0</v>
      </c>
      <c r="K172" s="37" t="inlineStr">
        <is>
          <t>Lịch biểu phỏng vấn &amp; Mở link họp trực tuyến</t>
        </is>
      </c>
    </row>
    <row r="173">
      <c r="A173" s="36" t="n">
        <v>41366</v>
      </c>
      <c r="B173" s="37" t="inlineStr">
        <is>
          <t>SV13: Nhắn tin với Nhà tuyển dụng</t>
        </is>
      </c>
      <c r="C173" s="37" t="inlineStr">
        <is>
          <t>Phát triển giao diện hộp thoại chat với nhà tuyển dụng trên Kênh HS/SV</t>
        </is>
      </c>
      <c r="D173" s="38" t="inlineStr">
        <is>
          <t>FO - FE</t>
        </is>
      </c>
      <c r="E173" s="38" t="inlineStr">
        <is>
          <t>Kiên</t>
        </is>
      </c>
      <c r="F173" s="38" t="inlineStr">
        <is>
          <t>3 ngày</t>
        </is>
      </c>
      <c r="G173" s="39" t="n">
        <v>46315</v>
      </c>
      <c r="H173" s="39" t="n">
        <v>46317</v>
      </c>
      <c r="I173" s="36" t="n">
        <v>41335</v>
      </c>
      <c r="J173" s="40" t="n">
        <v>0</v>
      </c>
      <c r="K173" s="37" t="inlineStr">
        <is>
          <t>Hộp thoại chat với nhà tuyển dụng HS/SV</t>
        </is>
      </c>
    </row>
    <row r="174">
      <c r="A174" s="62" t="n"/>
      <c r="B174" s="66" t="n"/>
      <c r="C174" s="66" t="n"/>
      <c r="D174" s="62" t="n"/>
      <c r="E174" s="62" t="n"/>
      <c r="F174" s="62" t="n"/>
      <c r="G174" s="63" t="n"/>
      <c r="H174" s="63" t="n"/>
      <c r="I174" s="67" t="n"/>
      <c r="J174" s="65" t="n"/>
      <c r="K174" s="66" t="n"/>
    </row>
    <row r="175">
      <c r="A175" s="62" t="n"/>
      <c r="B175" s="66" t="n"/>
      <c r="C175" s="66" t="n"/>
      <c r="D175" s="62" t="n"/>
      <c r="E175" s="62" t="n"/>
      <c r="F175" s="62" t="n"/>
      <c r="G175" s="63" t="n"/>
      <c r="H175" s="63" t="n"/>
      <c r="I175" s="67" t="n"/>
      <c r="J175" s="65" t="n"/>
      <c r="K175" s="66" t="n"/>
    </row>
    <row r="176">
      <c r="A176" s="62" t="n"/>
      <c r="B176" s="66" t="n"/>
      <c r="C176" s="66" t="n"/>
      <c r="D176" s="62" t="n"/>
      <c r="E176" s="62" t="n"/>
      <c r="F176" s="62" t="n"/>
      <c r="G176" s="63" t="n"/>
      <c r="H176" s="63" t="n"/>
      <c r="I176" s="67" t="n"/>
      <c r="J176" s="65" t="n"/>
      <c r="K176" s="66" t="n"/>
    </row>
    <row r="177">
      <c r="A177" s="68" t="n"/>
      <c r="B177" s="69" t="n"/>
      <c r="C177" s="69" t="n"/>
      <c r="D177" s="70" t="n"/>
      <c r="E177" s="70" t="n"/>
      <c r="F177" s="70" t="n"/>
      <c r="G177" s="70" t="n"/>
      <c r="H177" s="72" t="n"/>
      <c r="I177" s="72" t="n"/>
      <c r="J177" s="73" t="n"/>
    </row>
    <row r="178">
      <c r="A178" s="74" t="n"/>
      <c r="B178" s="75" t="n"/>
      <c r="C178" s="75" t="n"/>
      <c r="D178" s="77" t="n"/>
      <c r="E178" s="77" t="n"/>
      <c r="F178" s="77" t="n"/>
      <c r="G178" s="77" t="n"/>
      <c r="H178" s="77" t="n"/>
      <c r="I178" s="78" t="n"/>
      <c r="J178" s="79" t="n"/>
    </row>
  </sheetData>
  <mergeCells count="11">
    <mergeCell ref="A2:B2"/>
    <mergeCell ref="I2:K2"/>
    <mergeCell ref="C2:D2"/>
    <mergeCell ref="G2:H2"/>
    <mergeCell ref="E2:F2"/>
    <mergeCell ref="A1:K1"/>
    <mergeCell ref="I3:K3"/>
    <mergeCell ref="C3:D3"/>
    <mergeCell ref="A3:B3"/>
    <mergeCell ref="G3:H3"/>
    <mergeCell ref="E3:F3"/>
  </mergeCells>
  <conditionalFormatting sqref="A5:J178">
    <cfRule type="cellIs" priority="1" operator="equal" dxfId="5" stopIfTrue="1">
      <formula>"Nhóm tính năng"</formula>
    </cfRule>
  </conditionalFormatting>
  <conditionalFormatting sqref="D5:D178">
    <cfRule type="cellIs" priority="2" operator="equal" dxfId="6" stopIfTrue="1">
      <formula>"BA"</formula>
    </cfRule>
    <cfRule type="cellIs" priority="3" operator="equal" dxfId="7" stopIfTrue="1">
      <formula>"UI/UX"</formula>
    </cfRule>
    <cfRule type="containsText" priority="4" operator="containsText" dxfId="8" stopIfTrue="1" text="FO">
      <formula>NOT(ISERROR(SEARCH(("FO"),(D5))))</formula>
    </cfRule>
    <cfRule type="containsText" priority="5" operator="containsText" dxfId="9" stopIfTrue="1" text="BO">
      <formula>NOT(ISERROR(SEARCH(("BO"),(D5))))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9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9.5" customWidth="1" style="80" min="1" max="1"/>
    <col width="41.75" customWidth="1" style="80" min="2" max="2"/>
    <col width="69" customWidth="1" style="80" min="3" max="3"/>
    <col width="12.63" customWidth="1" style="80" min="4" max="4"/>
    <col width="10.63" customWidth="1" style="80" min="5" max="5"/>
    <col width="12" customWidth="1" style="80" min="6" max="6"/>
    <col width="13.25" customWidth="1" style="80" min="7" max="8"/>
    <col width="12" customWidth="1" style="80" min="9" max="10"/>
    <col width="43.38" customWidth="1" style="80" min="11" max="11"/>
    <col width="3.88" customWidth="1" style="80" min="12" max="12"/>
    <col width="16.38" customWidth="1" style="80" min="13" max="14"/>
    <col width="13.88" customWidth="1" style="80" min="15" max="15"/>
  </cols>
  <sheetData>
    <row r="1" ht="30" customHeight="1" s="80">
      <c r="A1" s="1" t="inlineStr">
        <is>
          <t>KẾ HOẠCH BÓC TÁCH WBS VÀ PHÂN BỔ CÔNG VIỆC - PHÂN HỆ CHỦ HỘ KINH DOANH / NTD</t>
        </is>
      </c>
    </row>
    <row r="2" ht="18" customHeight="1" s="80">
      <c r="A2" s="81" t="inlineStr">
        <is>
          <t>TỔNG SỐ ĐẦU VIỆC WBS</t>
        </is>
      </c>
      <c r="B2" s="82" t="n"/>
      <c r="C2" s="81" t="inlineStr">
        <is>
          <t>NHÓM TÍNH NĂNG CHÍNH</t>
        </is>
      </c>
      <c r="D2" s="82" t="n"/>
      <c r="E2" s="83" t="inlineStr">
        <is>
          <t>TÁC VỤ BA &amp; UI/UX</t>
        </is>
      </c>
      <c r="F2" s="82" t="n"/>
      <c r="G2" s="83" t="inlineStr">
        <is>
          <t>TÁC VỤ DEV (BE &amp; FE)</t>
        </is>
      </c>
      <c r="H2" s="82" t="n"/>
      <c r="I2" s="83" t="inlineStr">
        <is>
          <t>TIẾN ĐỘ TRUNG BÌNH</t>
        </is>
      </c>
      <c r="J2" s="84" t="n"/>
      <c r="K2" s="82" t="n"/>
    </row>
    <row r="3" ht="24" customHeight="1" s="80">
      <c r="A3" s="85" t="n">
        <v>78</v>
      </c>
      <c r="B3" s="86" t="n"/>
      <c r="C3" s="85" t="n">
        <v>17</v>
      </c>
      <c r="D3" s="86" t="n"/>
      <c r="E3" s="87" t="n">
        <v>34</v>
      </c>
      <c r="F3" s="86" t="n"/>
      <c r="G3" s="87" t="n">
        <v>44</v>
      </c>
      <c r="H3" s="86" t="n"/>
      <c r="I3" s="88">
        <f>J5</f>
        <v/>
      </c>
      <c r="J3" s="89" t="n"/>
      <c r="K3" s="86" t="n"/>
    </row>
    <row r="4" ht="27" customHeight="1" s="80">
      <c r="A4" s="15" t="inlineStr">
        <is>
          <t>WBS</t>
        </is>
      </c>
      <c r="B4" s="16" t="inlineStr">
        <is>
          <t>Phân hệ / Nhóm tính năng</t>
        </is>
      </c>
      <c r="C4" s="16" t="inlineStr">
        <is>
          <t>Đầu việc &amp; Hạng mục chi tiết</t>
        </is>
      </c>
      <c r="D4" s="16" t="inlineStr">
        <is>
          <t>Phân loại công việc (Role)</t>
        </is>
      </c>
      <c r="E4" s="16" t="inlineStr">
        <is>
          <t>Phụ trách (Resource)</t>
        </is>
      </c>
      <c r="F4" s="16" t="inlineStr">
        <is>
          <t>Thời lượng (Duration)</t>
        </is>
      </c>
      <c r="G4" s="16" t="inlineStr">
        <is>
          <t>Bắt đầu (Start)</t>
        </is>
      </c>
      <c r="H4" s="16" t="inlineStr">
        <is>
          <t>Kết thúc (Finish)</t>
        </is>
      </c>
      <c r="I4" s="16" t="inlineStr">
        <is>
          <t>Phụ thuộc (Predecessor)</t>
        </is>
      </c>
      <c r="J4" s="18" t="inlineStr">
        <is>
          <t>Tiến độ (% Complete)</t>
        </is>
      </c>
      <c r="K4" s="19" t="inlineStr">
        <is>
          <t>Ghi chú</t>
        </is>
      </c>
      <c r="M4" s="20" t="n"/>
      <c r="N4" s="20" t="n"/>
      <c r="O4" s="20" t="n"/>
    </row>
    <row r="5">
      <c r="A5" s="22" t="n">
        <v>1</v>
      </c>
      <c r="B5" s="23" t="inlineStr">
        <is>
          <t>PHÂN HỆ CHỦ HỘ KINH DOANH / NHÀ TUYỂN DỤNG</t>
        </is>
      </c>
      <c r="C5" s="23" t="inlineStr">
        <is>
          <t>Toàn bộ tính năng phục vụ công tác tuyển dụng của Chủ hộ kinh doanh</t>
        </is>
      </c>
      <c r="D5" s="22" t="inlineStr">
        <is>
          <t>Quản lý chung</t>
        </is>
      </c>
      <c r="E5" s="22" t="n"/>
      <c r="F5" s="22" t="inlineStr">
        <is>
          <t>55 ngày</t>
        </is>
      </c>
      <c r="G5" s="24" t="n">
        <v>46279</v>
      </c>
      <c r="H5" s="24" t="n">
        <v>46333</v>
      </c>
      <c r="I5" s="22" t="inlineStr">
        <is>
          <t>-</t>
        </is>
      </c>
      <c r="J5" s="27">
        <f>(J6+J27+J48+J74)/4</f>
        <v/>
      </c>
      <c r="K5" s="23" t="inlineStr">
        <is>
          <t>15 nhóm tính năng CHKD (theo SRS)</t>
        </is>
      </c>
      <c r="M5" s="70" t="n"/>
      <c r="N5" s="29" t="n"/>
      <c r="O5" s="30" t="n"/>
    </row>
    <row r="6">
      <c r="A6" s="31" t="n">
        <v>46023</v>
      </c>
      <c r="B6" s="32" t="inlineStr">
        <is>
          <t>GIAI ĐOẠN 1 (W2-W5): PHÂN TÍCH NGHIỆP VỤ &amp; TÀI LIỆU SRS (BA - CHECKPOINT 1)</t>
        </is>
      </c>
      <c r="C6" s="32" t="inlineStr">
        <is>
          <t>Hoàn thiện toàn bộ đặc tả yêu cầu, quy trình nghiệp vụ &amp; hồ sơ Checkpoint 1 (W5)</t>
        </is>
      </c>
      <c r="D6" s="33" t="n"/>
      <c r="E6" s="33" t="n"/>
      <c r="F6" s="33" t="inlineStr">
        <is>
          <t>21 ngày</t>
        </is>
      </c>
      <c r="G6" s="34" t="n">
        <v>46279</v>
      </c>
      <c r="H6" s="34" t="n">
        <v>46299</v>
      </c>
      <c r="I6" s="33" t="inlineStr">
        <is>
          <t>-</t>
        </is>
      </c>
      <c r="J6" s="35">
        <f>AVERAGE(J7:J23)</f>
        <v/>
      </c>
      <c r="K6" s="32" t="inlineStr">
        <is>
          <t>17 đầu việc BA - Đạt mốc Checkpoint 1 (W5)</t>
        </is>
      </c>
      <c r="M6" s="70" t="n"/>
      <c r="N6" s="29" t="n"/>
      <c r="O6" s="30" t="n"/>
    </row>
    <row r="7">
      <c r="A7" s="36" t="n">
        <v>36892</v>
      </c>
      <c r="B7" s="37" t="inlineStr">
        <is>
          <t>CH1: Đăng ký, Đăng nhập &amp; Xác minh CHKD</t>
        </is>
      </c>
      <c r="C7" s="37" t="inlineStr">
        <is>
          <t>Phân tích yêu cầu và viết tài liệu SRS xác thực tài khoản NTD</t>
        </is>
      </c>
      <c r="D7" s="38" t="inlineStr">
        <is>
          <t>BA</t>
        </is>
      </c>
      <c r="E7" s="38" t="inlineStr">
        <is>
          <t>Việt</t>
        </is>
      </c>
      <c r="F7" s="38" t="inlineStr">
        <is>
          <t>3 ngày</t>
        </is>
      </c>
      <c r="G7" s="39" t="n">
        <v>46279</v>
      </c>
      <c r="H7" s="39" t="n">
        <v>46281</v>
      </c>
      <c r="I7" s="38" t="inlineStr">
        <is>
          <t>-</t>
        </is>
      </c>
      <c r="J7" s="40" t="n">
        <v>0</v>
      </c>
      <c r="K7" s="37" t="inlineStr">
        <is>
          <t>SRS xác thực tài khoản NTD</t>
        </is>
      </c>
      <c r="M7" s="70" t="n"/>
      <c r="N7" s="29" t="n"/>
      <c r="O7" s="30" t="n"/>
    </row>
    <row r="8">
      <c r="A8" s="41" t="n">
        <v>42370</v>
      </c>
      <c r="B8" s="42" t="inlineStr">
        <is>
          <t>CH16: Trợ lý AI và quản lý tri thức</t>
        </is>
      </c>
      <c r="C8" s="42" t="inlineStr">
        <is>
          <t>Xây dựng SRS kiến trúc Trợ lý AI, cơ chế lưu trữ bộ nhớ ngữ cảnh và quản trị nguồn tri thức</t>
        </is>
      </c>
      <c r="D8" s="43" t="inlineStr">
        <is>
          <t>BA</t>
        </is>
      </c>
      <c r="E8" s="43" t="inlineStr">
        <is>
          <t>Việt</t>
        </is>
      </c>
      <c r="F8" s="43" t="inlineStr">
        <is>
          <t>5 ngày</t>
        </is>
      </c>
      <c r="G8" s="44" t="n">
        <v>46279</v>
      </c>
      <c r="H8" s="44" t="n">
        <v>46283</v>
      </c>
      <c r="I8" s="41" t="n">
        <v>36892</v>
      </c>
      <c r="J8" s="45" t="n">
        <v>0</v>
      </c>
      <c r="K8" s="42" t="inlineStr">
        <is>
          <t>Ưu tiên Demo W4 (T2 28/09)</t>
        </is>
      </c>
      <c r="M8" s="70" t="n"/>
      <c r="N8" s="29" t="n"/>
      <c r="O8" s="30" t="n"/>
    </row>
    <row r="9">
      <c r="A9" s="36" t="n">
        <v>37257</v>
      </c>
      <c r="B9" s="37" t="inlineStr">
        <is>
          <t>CH2: Quản lý Hồ sơ Chủ hộ KD</t>
        </is>
      </c>
      <c r="C9" s="37" t="inlineStr">
        <is>
          <t>Phân tích yêu cầu và viết SRS quản lý thông tin pháp lý &amp; hồ sơ cơ sở kinh doanh</t>
        </is>
      </c>
      <c r="D9" s="38" t="inlineStr">
        <is>
          <t>BA</t>
        </is>
      </c>
      <c r="E9" s="38" t="inlineStr">
        <is>
          <t>Việt</t>
        </is>
      </c>
      <c r="F9" s="38" t="inlineStr">
        <is>
          <t>3 ngày</t>
        </is>
      </c>
      <c r="G9" s="39" t="n">
        <v>46280</v>
      </c>
      <c r="H9" s="39" t="n">
        <v>46282</v>
      </c>
      <c r="I9" s="36" t="n">
        <v>36892</v>
      </c>
      <c r="J9" s="40" t="n">
        <v>0</v>
      </c>
      <c r="K9" s="37" t="inlineStr">
        <is>
          <t>Điều kiện cần để tuyển dụng</t>
        </is>
      </c>
      <c r="M9" s="70" t="n"/>
      <c r="N9" s="29" t="n"/>
      <c r="O9" s="30" t="n"/>
    </row>
    <row r="10">
      <c r="A10" s="41" t="n">
        <v>41640</v>
      </c>
      <c r="B10" s="42" t="inlineStr">
        <is>
          <t>CH9: Gửi Offer &amp; Quản lý Offer</t>
        </is>
      </c>
      <c r="C10" s="42" t="inlineStr">
        <is>
          <t>Đặc tả mẫu văn bản đề xuất tuyển dụng điện tử và quy trình phản hồi offer</t>
        </is>
      </c>
      <c r="D10" s="43" t="inlineStr">
        <is>
          <t>BA</t>
        </is>
      </c>
      <c r="E10" s="43" t="inlineStr">
        <is>
          <t>Việt</t>
        </is>
      </c>
      <c r="F10" s="43" t="inlineStr">
        <is>
          <t>4 ngày</t>
        </is>
      </c>
      <c r="G10" s="44" t="n">
        <v>46280</v>
      </c>
      <c r="H10" s="44" t="n">
        <v>46283</v>
      </c>
      <c r="I10" s="41" t="n">
        <v>40544</v>
      </c>
      <c r="J10" s="45" t="n">
        <v>0</v>
      </c>
      <c r="K10" s="42" t="inlineStr">
        <is>
          <t>Ưu tiên Demo W4 (T2 28/09)</t>
        </is>
      </c>
      <c r="M10" s="47" t="n"/>
      <c r="N10" s="48" t="n"/>
      <c r="O10" s="49" t="n"/>
    </row>
    <row r="11">
      <c r="A11" s="41" t="n">
        <v>42005</v>
      </c>
      <c r="B11" s="42" t="inlineStr">
        <is>
          <t>CH13: Nhắn tin với Ứng viên</t>
        </is>
      </c>
      <c r="C11" s="42" t="inlineStr">
        <is>
          <t>Viết SRS hệ thống tin nhắn hồ sơ và cơ chế AI gợi ý câu trả lời kèm luồng phê duyệt</t>
        </is>
      </c>
      <c r="D11" s="43" t="inlineStr">
        <is>
          <t>BA</t>
        </is>
      </c>
      <c r="E11" s="43" t="inlineStr">
        <is>
          <t>Việt</t>
        </is>
      </c>
      <c r="F11" s="43" t="inlineStr">
        <is>
          <t>4 ngày</t>
        </is>
      </c>
      <c r="G11" s="44" t="n">
        <v>46280</v>
      </c>
      <c r="H11" s="44" t="n">
        <v>46283</v>
      </c>
      <c r="I11" s="41" t="n">
        <v>40544</v>
      </c>
      <c r="J11" s="45" t="n">
        <v>0</v>
      </c>
      <c r="K11" s="42" t="inlineStr">
        <is>
          <t>Ưu tiên Demo W4 (T2 28/09)</t>
        </is>
      </c>
    </row>
    <row r="12">
      <c r="A12" s="50" t="n">
        <v>37622</v>
      </c>
      <c r="B12" s="51" t="inlineStr">
        <is>
          <t>CH14: Trang tổng quan Mobile / Web</t>
        </is>
      </c>
      <c r="C12" s="51" t="inlineStr">
        <is>
          <t>Xác định các chỉ số KPI tuyển dụng, lối tắt chức năng và viết SRS Dashboard NTD</t>
        </is>
      </c>
      <c r="D12" s="52" t="inlineStr">
        <is>
          <t>BA</t>
        </is>
      </c>
      <c r="E12" s="52" t="inlineStr">
        <is>
          <t>Việt</t>
        </is>
      </c>
      <c r="F12" s="52" t="inlineStr">
        <is>
          <t>3 ngày</t>
        </is>
      </c>
      <c r="G12" s="53" t="n">
        <v>46281</v>
      </c>
      <c r="H12" s="53" t="n">
        <v>46283</v>
      </c>
      <c r="I12" s="50" t="n">
        <v>37257</v>
      </c>
      <c r="J12" s="54" t="n">
        <v>0</v>
      </c>
      <c r="K12" s="51" t="inlineStr">
        <is>
          <t>Xác định KPI tuyển dụng &amp; lối tắt</t>
        </is>
      </c>
    </row>
    <row r="13">
      <c r="A13" s="50" t="n">
        <v>37987</v>
      </c>
      <c r="B13" s="51" t="inlineStr">
        <is>
          <t>CH3: Đăng tin tuyển dụng (Thủ công)</t>
        </is>
      </c>
      <c r="C13" s="51" t="inlineStr">
        <is>
          <t>Viết SRS quy trình tạo tin nhanh và định nghĩa cấu trúc trường dữ liệu tin tuyển dụng</t>
        </is>
      </c>
      <c r="D13" s="52" t="inlineStr">
        <is>
          <t>BA</t>
        </is>
      </c>
      <c r="E13" s="52" t="inlineStr">
        <is>
          <t>Việt</t>
        </is>
      </c>
      <c r="F13" s="52" t="inlineStr">
        <is>
          <t>3 ngày</t>
        </is>
      </c>
      <c r="G13" s="53" t="n">
        <v>46282</v>
      </c>
      <c r="H13" s="53" t="n">
        <v>46284</v>
      </c>
      <c r="I13" s="50" t="n">
        <v>37257</v>
      </c>
      <c r="J13" s="54" t="n">
        <v>0</v>
      </c>
      <c r="K13" s="51" t="inlineStr">
        <is>
          <t>Cấu trúc form tạo tin nhanh</t>
        </is>
      </c>
    </row>
    <row r="14">
      <c r="A14" s="36" t="n">
        <v>38353</v>
      </c>
      <c r="B14" s="37" t="inlineStr">
        <is>
          <t>CH3: Đăng tin tuyển dụng (AI)</t>
        </is>
      </c>
      <c r="C14" s="37" t="inlineStr">
        <is>
          <t>Xây dựng kịch bản hội thoại AI, logic trích xuất thông tin tin tuyển dụng từ prompt</t>
        </is>
      </c>
      <c r="D14" s="38" t="inlineStr">
        <is>
          <t>BA</t>
        </is>
      </c>
      <c r="E14" s="38" t="inlineStr">
        <is>
          <t>Việt</t>
        </is>
      </c>
      <c r="F14" s="38" t="inlineStr">
        <is>
          <t>4 ngày</t>
        </is>
      </c>
      <c r="G14" s="39" t="n">
        <v>46283</v>
      </c>
      <c r="H14" s="39" t="n">
        <v>46286</v>
      </c>
      <c r="I14" s="36" t="n">
        <v>37987</v>
      </c>
      <c r="J14" s="40" t="n">
        <v>0</v>
      </c>
      <c r="K14" s="37" t="inlineStr">
        <is>
          <t>Kịch bản hội thoại AI &amp; prompt</t>
        </is>
      </c>
    </row>
    <row r="15">
      <c r="A15" s="36" t="n">
        <v>41275</v>
      </c>
      <c r="B15" s="37" t="inlineStr">
        <is>
          <t>CH8: Đặt lịch &amp; Quản lý Phỏng vấn</t>
        </is>
      </c>
      <c r="C15" s="37" t="inlineStr">
        <is>
          <t>Viết SRS quy trình đặt lịch phỏng vấn, tích hợp công cụ họp trực tuyến và gửi thư mời</t>
        </is>
      </c>
      <c r="D15" s="38" t="inlineStr">
        <is>
          <t>BA</t>
        </is>
      </c>
      <c r="E15" s="38" t="inlineStr">
        <is>
          <t>Việt</t>
        </is>
      </c>
      <c r="F15" s="38" t="inlineStr">
        <is>
          <t>4 ngày</t>
        </is>
      </c>
      <c r="G15" s="39" t="n">
        <v>46284</v>
      </c>
      <c r="H15" s="39" t="n">
        <v>46287</v>
      </c>
      <c r="I15" s="36" t="n">
        <v>40544</v>
      </c>
      <c r="J15" s="40" t="n">
        <v>0</v>
      </c>
      <c r="K15" s="37" t="inlineStr">
        <is>
          <t>Tính năng trọng tâm - Đặt lịch họp</t>
        </is>
      </c>
    </row>
    <row r="16">
      <c r="A16" s="36" t="n">
        <v>38718</v>
      </c>
      <c r="B16" s="37" t="inlineStr">
        <is>
          <t>CH3: Đăng tin tuyển dụng (Hoàn thiện)</t>
        </is>
      </c>
      <c r="C16" s="37" t="inlineStr">
        <is>
          <t>Viết SRS chi tiết các thuộc tính nâng cao của tin tuyển dụng (tọa độ, ca làm, phúc lợi)</t>
        </is>
      </c>
      <c r="D16" s="38" t="inlineStr">
        <is>
          <t>BA</t>
        </is>
      </c>
      <c r="E16" s="38" t="inlineStr">
        <is>
          <t>Việt</t>
        </is>
      </c>
      <c r="F16" s="38" t="inlineStr">
        <is>
          <t>3 ngày</t>
        </is>
      </c>
      <c r="G16" s="39" t="n">
        <v>46285</v>
      </c>
      <c r="H16" s="39" t="n">
        <v>46287</v>
      </c>
      <c r="I16" s="36" t="n">
        <v>37987</v>
      </c>
      <c r="J16" s="40" t="n">
        <v>0</v>
      </c>
      <c r="K16" s="37" t="inlineStr">
        <is>
          <t>Thuộc tính nâng cao &amp; vị trí bản đồ</t>
        </is>
      </c>
    </row>
    <row r="17">
      <c r="A17" s="36" t="n">
        <v>39083</v>
      </c>
      <c r="B17" s="37" t="inlineStr">
        <is>
          <t>CH4: Quản lý danh sách tin &amp; Gia hạn (Vòng đời)</t>
        </is>
      </c>
      <c r="C17" s="37" t="inlineStr">
        <is>
          <t>Xây dựng State Machine vòng đời tin tuyển dụng và quy tắc chuyển trạng thái</t>
        </is>
      </c>
      <c r="D17" s="38" t="inlineStr">
        <is>
          <t>BA</t>
        </is>
      </c>
      <c r="E17" s="38" t="inlineStr">
        <is>
          <t>Việt</t>
        </is>
      </c>
      <c r="F17" s="38" t="inlineStr">
        <is>
          <t>3 ngày</t>
        </is>
      </c>
      <c r="G17" s="39" t="n">
        <v>46286</v>
      </c>
      <c r="H17" s="39" t="n">
        <v>46288</v>
      </c>
      <c r="I17" s="36" t="n">
        <v>38718</v>
      </c>
      <c r="J17" s="40" t="n">
        <v>0</v>
      </c>
      <c r="K17" s="37" t="inlineStr">
        <is>
          <t>State Machine vòng đời tin đăng</t>
        </is>
      </c>
    </row>
    <row r="18">
      <c r="A18" s="36" t="n">
        <v>39448</v>
      </c>
      <c r="B18" s="37" t="inlineStr">
        <is>
          <t>CH4: Quản lý danh sách tin &amp; Gia hạn (Ghim tin)</t>
        </is>
      </c>
      <c r="C18" s="37" t="inlineStr">
        <is>
          <t>Viết SRS nghiệp vụ ghim tin, thuật toán ưu tiên hiển thị và cơ chế tự động hết hạn</t>
        </is>
      </c>
      <c r="D18" s="38" t="inlineStr">
        <is>
          <t>BA</t>
        </is>
      </c>
      <c r="E18" s="38" t="inlineStr">
        <is>
          <t>Việt</t>
        </is>
      </c>
      <c r="F18" s="38" t="inlineStr">
        <is>
          <t>3 ngày</t>
        </is>
      </c>
      <c r="G18" s="39" t="n">
        <v>46287</v>
      </c>
      <c r="H18" s="39" t="n">
        <v>46289</v>
      </c>
      <c r="I18" s="36" t="n">
        <v>39083</v>
      </c>
      <c r="J18" s="40" t="n">
        <v>0</v>
      </c>
      <c r="K18" s="37" t="inlineStr">
        <is>
          <t>Quy tắc ghim &amp; tự động hết hạn</t>
        </is>
      </c>
    </row>
    <row r="19">
      <c r="A19" s="36" t="n">
        <v>39814</v>
      </c>
      <c r="B19" s="37" t="inlineStr">
        <is>
          <t>CH5: Tìm kiếm Ứng viên</t>
        </is>
      </c>
      <c r="C19" s="37" t="inlineStr">
        <is>
          <t>Xây dựng thuật toán Matching ứng viên (trọng số kỹ năng, kinh nghiệm, khoảng cách)</t>
        </is>
      </c>
      <c r="D19" s="38" t="inlineStr">
        <is>
          <t>BA</t>
        </is>
      </c>
      <c r="E19" s="38" t="inlineStr">
        <is>
          <t>Việt</t>
        </is>
      </c>
      <c r="F19" s="38" t="inlineStr">
        <is>
          <t>4 ngày</t>
        </is>
      </c>
      <c r="G19" s="39" t="n">
        <v>46287</v>
      </c>
      <c r="H19" s="39" t="n">
        <v>46290</v>
      </c>
      <c r="I19" s="36" t="n">
        <v>37622</v>
      </c>
      <c r="J19" s="40" t="n">
        <v>0</v>
      </c>
      <c r="K19" s="37" t="inlineStr">
        <is>
          <t>Thuật toán Matching ứng viên NTD</t>
        </is>
      </c>
    </row>
    <row r="20">
      <c r="A20" s="36" t="n">
        <v>40544</v>
      </c>
      <c r="B20" s="37" t="inlineStr">
        <is>
          <t>CH7: Quản lý đơn ứng tuyển</t>
        </is>
      </c>
      <c r="C20" s="37" t="inlineStr">
        <is>
          <t>Viết SRS quy trình Pipeline tuyển dụng: Đã nộp -&gt; Đã liên hệ -&gt; Phỏng vấn -&gt; Offer -&gt; Tuyển/Từ chối</t>
        </is>
      </c>
      <c r="D20" s="38" t="inlineStr">
        <is>
          <t>BA</t>
        </is>
      </c>
      <c r="E20" s="38" t="inlineStr">
        <is>
          <t>Việt</t>
        </is>
      </c>
      <c r="F20" s="38" t="inlineStr">
        <is>
          <t>4 ngày</t>
        </is>
      </c>
      <c r="G20" s="39" t="n">
        <v>46288</v>
      </c>
      <c r="H20" s="39" t="n">
        <v>46291</v>
      </c>
      <c r="I20" s="36" t="n">
        <v>39814</v>
      </c>
      <c r="J20" s="40" t="n">
        <v>0</v>
      </c>
      <c r="K20" s="37" t="inlineStr">
        <is>
          <t>Quy trình 5 bước Pipeline NTD</t>
        </is>
      </c>
    </row>
    <row r="21">
      <c r="A21" s="36" t="n">
        <v>40179</v>
      </c>
      <c r="B21" s="37" t="inlineStr">
        <is>
          <t>CH6: Mời Ứng viên ứng tuyển</t>
        </is>
      </c>
      <c r="C21" s="37" t="inlineStr">
        <is>
          <t>Viết SRS luồng gửi lời mời ứng tuyển trực tiếp và thông điệp mời việc</t>
        </is>
      </c>
      <c r="D21" s="38" t="inlineStr">
        <is>
          <t>BA</t>
        </is>
      </c>
      <c r="E21" s="38" t="inlineStr">
        <is>
          <t>Việt</t>
        </is>
      </c>
      <c r="F21" s="38" t="inlineStr">
        <is>
          <t>3 ngày</t>
        </is>
      </c>
      <c r="G21" s="39" t="n">
        <v>46289</v>
      </c>
      <c r="H21" s="39" t="n">
        <v>46291</v>
      </c>
      <c r="I21" s="36" t="n">
        <v>39814</v>
      </c>
      <c r="J21" s="40" t="n">
        <v>0</v>
      </c>
      <c r="K21" s="37" t="inlineStr">
        <is>
          <t>Luồng gửi lời mời ứng tuyển</t>
        </is>
      </c>
    </row>
    <row r="22">
      <c r="A22" s="36" t="n">
        <v>40909</v>
      </c>
      <c r="B22" s="37" t="inlineStr">
        <is>
          <t>CH7: Quản lý đơn ứng tuyển (Đánh giá)</t>
        </is>
      </c>
      <c r="C22" s="37" t="inlineStr">
        <is>
          <t>Đặc tả các tiêu chí phân tích tự động điểm mạnh/yếu của hồ sơ và cấu trúc ghi chú nội bộ</t>
        </is>
      </c>
      <c r="D22" s="38" t="inlineStr">
        <is>
          <t>BA</t>
        </is>
      </c>
      <c r="E22" s="38" t="inlineStr">
        <is>
          <t>Việt</t>
        </is>
      </c>
      <c r="F22" s="38" t="inlineStr">
        <is>
          <t>3 ngày</t>
        </is>
      </c>
      <c r="G22" s="39" t="n">
        <v>46290</v>
      </c>
      <c r="H22" s="39" t="n">
        <v>46292</v>
      </c>
      <c r="I22" s="36" t="n">
        <v>40544</v>
      </c>
      <c r="J22" s="40" t="n">
        <v>0</v>
      </c>
      <c r="K22" s="37" t="inlineStr">
        <is>
          <t>Tiêu chí đánh giá &amp; ghi chú bảo mật</t>
        </is>
      </c>
    </row>
    <row r="23">
      <c r="A23" s="36" t="n">
        <v>42736</v>
      </c>
      <c r="B23" s="37" t="inlineStr">
        <is>
          <t>CH15: Thông báo</t>
        </is>
      </c>
      <c r="C23" s="37" t="inlineStr">
        <is>
          <t>Viết SRS ma trận thông báo NTD (kênh thông báo: in-app, push web, email)</t>
        </is>
      </c>
      <c r="D23" s="38" t="inlineStr">
        <is>
          <t>BA</t>
        </is>
      </c>
      <c r="E23" s="38" t="inlineStr">
        <is>
          <t>Việt</t>
        </is>
      </c>
      <c r="F23" s="38" t="inlineStr">
        <is>
          <t>3 ngày</t>
        </is>
      </c>
      <c r="G23" s="39" t="n">
        <v>46292</v>
      </c>
      <c r="H23" s="39" t="n">
        <v>46294</v>
      </c>
      <c r="I23" s="36" t="n">
        <v>41640</v>
      </c>
      <c r="J23" s="40" t="n">
        <v>0</v>
      </c>
      <c r="K23" s="37" t="inlineStr">
        <is>
          <t>Ma trận thông báo đa kênh NTD</t>
        </is>
      </c>
    </row>
    <row r="24">
      <c r="A24" s="62" t="n"/>
      <c r="B24" s="66" t="n"/>
      <c r="C24" s="66" t="n"/>
      <c r="D24" s="62" t="n"/>
      <c r="E24" s="62" t="n"/>
      <c r="F24" s="62" t="n"/>
      <c r="G24" s="63" t="n"/>
      <c r="H24" s="63" t="n"/>
      <c r="I24" s="61" t="n"/>
      <c r="J24" s="65" t="n"/>
      <c r="K24" s="66" t="n"/>
    </row>
    <row r="25">
      <c r="A25" s="62" t="n"/>
      <c r="B25" s="66" t="n"/>
      <c r="C25" s="66" t="n"/>
      <c r="D25" s="62" t="n"/>
      <c r="E25" s="62" t="n"/>
      <c r="F25" s="62" t="n"/>
      <c r="G25" s="63" t="n"/>
      <c r="H25" s="63" t="n"/>
      <c r="I25" s="58" t="n"/>
      <c r="J25" s="65" t="n"/>
      <c r="K25" s="66" t="n"/>
    </row>
    <row r="26">
      <c r="A26" s="62" t="n"/>
      <c r="B26" s="66" t="n"/>
      <c r="C26" s="66" t="n"/>
      <c r="D26" s="62" t="n"/>
      <c r="E26" s="62" t="n"/>
      <c r="F26" s="62" t="n"/>
      <c r="G26" s="63" t="n"/>
      <c r="H26" s="63" t="n"/>
      <c r="I26" s="58" t="n"/>
      <c r="J26" s="65" t="n"/>
      <c r="K26" s="66" t="n"/>
    </row>
    <row r="27">
      <c r="A27" s="31" t="n">
        <v>46054</v>
      </c>
      <c r="B27" s="32" t="inlineStr">
        <is>
          <t>GIAI ĐOẠN 1 (W2-W5): THIẾT KẾ TRẢI NGHIỆM &amp; GIAO DIỆN (UI/UX - CHECKPOINT 1)</t>
        </is>
      </c>
      <c r="C27" s="32" t="inlineStr">
        <is>
          <t>Thiết kế prototype, wireframe Figma, chuẩn bị Product Concept &amp; Demo Checkpoint 1</t>
        </is>
      </c>
      <c r="D27" s="33" t="n"/>
      <c r="E27" s="33" t="n"/>
      <c r="F27" s="33" t="inlineStr">
        <is>
          <t>21 ngày</t>
        </is>
      </c>
      <c r="G27" s="34" t="n">
        <v>46282</v>
      </c>
      <c r="H27" s="34" t="n">
        <v>46302</v>
      </c>
      <c r="I27" s="60" t="n">
        <v>46023</v>
      </c>
      <c r="J27" s="35">
        <f>AVERAGE(J28:J44)</f>
        <v/>
      </c>
      <c r="K27" s="32" t="inlineStr">
        <is>
          <t>17 đầu việc UI/UX - Phục vụ Demo &amp; Checkpoint 1 (W5)</t>
        </is>
      </c>
    </row>
    <row r="28">
      <c r="A28" s="36" t="n">
        <v>36923</v>
      </c>
      <c r="B28" s="37" t="inlineStr">
        <is>
          <t>CH1: Đăng ký, Đăng nhập &amp; Xác minh CHKD</t>
        </is>
      </c>
      <c r="C28" s="37" t="inlineStr">
        <is>
          <t>Thiết kế UI/UX luồng đăng ký, đăng nhập, xác thực email và đặt lại mật khẩu</t>
        </is>
      </c>
      <c r="D28" s="38" t="inlineStr">
        <is>
          <t>UI/UX</t>
        </is>
      </c>
      <c r="E28" s="38" t="inlineStr">
        <is>
          <t>Ngân</t>
        </is>
      </c>
      <c r="F28" s="38" t="inlineStr">
        <is>
          <t>3 ngày</t>
        </is>
      </c>
      <c r="G28" s="39" t="n">
        <v>46282</v>
      </c>
      <c r="H28" s="39" t="n">
        <v>46284</v>
      </c>
      <c r="I28" s="36" t="n">
        <v>36892</v>
      </c>
      <c r="J28" s="40" t="n">
        <v>0</v>
      </c>
      <c r="K28" s="37" t="inlineStr">
        <is>
          <t>Wireframe &amp; Prototype Auth</t>
        </is>
      </c>
    </row>
    <row r="29">
      <c r="A29" s="36" t="n">
        <v>37288</v>
      </c>
      <c r="B29" s="37" t="inlineStr">
        <is>
          <t>CH2: Quản lý Hồ sơ Chủ hộ KD</t>
        </is>
      </c>
      <c r="C29" s="37" t="inlineStr">
        <is>
          <t>Thiết kế UI/UX trang hồ sơ doanh nghiệp, form cập nhật thông tin và upload giấy phép</t>
        </is>
      </c>
      <c r="D29" s="38" t="inlineStr">
        <is>
          <t>UI/UX</t>
        </is>
      </c>
      <c r="E29" s="38" t="inlineStr">
        <is>
          <t>Ngân</t>
        </is>
      </c>
      <c r="F29" s="38" t="inlineStr">
        <is>
          <t>3 ngày</t>
        </is>
      </c>
      <c r="G29" s="39" t="n">
        <v>46283</v>
      </c>
      <c r="H29" s="39" t="n">
        <v>46285</v>
      </c>
      <c r="I29" s="36" t="n">
        <v>37257</v>
      </c>
      <c r="J29" s="40" t="n">
        <v>0</v>
      </c>
      <c r="K29" s="37" t="inlineStr">
        <is>
          <t>Điều kiện cần để tuyển dụng</t>
        </is>
      </c>
    </row>
    <row r="30">
      <c r="A30" s="36" t="n">
        <v>37653</v>
      </c>
      <c r="B30" s="37" t="inlineStr">
        <is>
          <t>CH14: Trang tổng quan Mobile / Web</t>
        </is>
      </c>
      <c r="C30" s="37" t="inlineStr">
        <is>
          <t>Thiết kế UI/UX Dashboard tuyển dụng: các widget số liệu, danh sách việc cần làm</t>
        </is>
      </c>
      <c r="D30" s="38" t="inlineStr">
        <is>
          <t>UI/UX</t>
        </is>
      </c>
      <c r="E30" s="38" t="inlineStr">
        <is>
          <t>Ngân</t>
        </is>
      </c>
      <c r="F30" s="38" t="inlineStr">
        <is>
          <t>3 ngày</t>
        </is>
      </c>
      <c r="G30" s="39" t="n">
        <v>46284</v>
      </c>
      <c r="H30" s="39" t="n">
        <v>46286</v>
      </c>
      <c r="I30" s="36" t="n">
        <v>37622</v>
      </c>
      <c r="J30" s="40" t="n">
        <v>0</v>
      </c>
      <c r="K30" s="37" t="inlineStr">
        <is>
          <t>Dashboard widget &amp; Thao tác nhanh</t>
        </is>
      </c>
    </row>
    <row r="31">
      <c r="A31" s="41" t="n">
        <v>41671</v>
      </c>
      <c r="B31" s="42" t="inlineStr">
        <is>
          <t>CH9: Gửi Offer &amp; Quản lý Offer</t>
        </is>
      </c>
      <c r="C31" s="42" t="inlineStr">
        <is>
          <t>Thiết kế UI/UX form tạo offer tuyển dụng và giao diện theo dõi phản hồi từ ứng viên</t>
        </is>
      </c>
      <c r="D31" s="43" t="inlineStr">
        <is>
          <t>UI/UX</t>
        </is>
      </c>
      <c r="E31" s="43" t="inlineStr">
        <is>
          <t>Ngân</t>
        </is>
      </c>
      <c r="F31" s="43" t="inlineStr">
        <is>
          <t>3 ngày</t>
        </is>
      </c>
      <c r="G31" s="44" t="n">
        <v>46284</v>
      </c>
      <c r="H31" s="44" t="n">
        <v>46286</v>
      </c>
      <c r="I31" s="41" t="n">
        <v>41640</v>
      </c>
      <c r="J31" s="45" t="n">
        <v>0</v>
      </c>
      <c r="K31" s="42" t="inlineStr">
        <is>
          <t>Ưu tiên Demo W4 (T2 28/09)</t>
        </is>
      </c>
    </row>
    <row r="32">
      <c r="A32" s="41" t="n">
        <v>42036</v>
      </c>
      <c r="B32" s="42" t="inlineStr">
        <is>
          <t>CH13: Nhắn tin với Ứng viên</t>
        </is>
      </c>
      <c r="C32" s="42" t="inlineStr">
        <is>
          <t>Thiết kế UI/UX khung chat trực tuyến, component hiển thị câu trả lời AI gợi ý</t>
        </is>
      </c>
      <c r="D32" s="43" t="inlineStr">
        <is>
          <t>UI/UX</t>
        </is>
      </c>
      <c r="E32" s="43" t="inlineStr">
        <is>
          <t>Ngân</t>
        </is>
      </c>
      <c r="F32" s="43" t="inlineStr">
        <is>
          <t>3 ngày</t>
        </is>
      </c>
      <c r="G32" s="44" t="n">
        <v>46284</v>
      </c>
      <c r="H32" s="44" t="n">
        <v>46286</v>
      </c>
      <c r="I32" s="41" t="n">
        <v>42005</v>
      </c>
      <c r="J32" s="45" t="n">
        <v>0</v>
      </c>
      <c r="K32" s="42" t="inlineStr">
        <is>
          <t>Ưu tiên Demo W4 (T2 28/09)</t>
        </is>
      </c>
    </row>
    <row r="33">
      <c r="A33" s="41" t="n">
        <v>42401</v>
      </c>
      <c r="B33" s="42" t="inlineStr">
        <is>
          <t>CH16: Trợ lý AI và quản lý tri thức</t>
        </is>
      </c>
      <c r="C33" s="42" t="inlineStr">
        <is>
          <t>Thiết kế UI/UX giao diện Trợ lý AI và trang quản lý dữ liệu/tri thức cho phép AI sử dụng</t>
        </is>
      </c>
      <c r="D33" s="43" t="inlineStr">
        <is>
          <t>UI/UX</t>
        </is>
      </c>
      <c r="E33" s="43" t="inlineStr">
        <is>
          <t>Ngân</t>
        </is>
      </c>
      <c r="F33" s="43" t="inlineStr">
        <is>
          <t>4 ngày</t>
        </is>
      </c>
      <c r="G33" s="44" t="n">
        <v>46284</v>
      </c>
      <c r="H33" s="44" t="n">
        <v>46287</v>
      </c>
      <c r="I33" s="41" t="n">
        <v>42370</v>
      </c>
      <c r="J33" s="45" t="n">
        <v>0</v>
      </c>
      <c r="K33" s="42" t="inlineStr">
        <is>
          <t>Ưu tiên Demo W4 (T2 28/09)</t>
        </is>
      </c>
    </row>
    <row r="34">
      <c r="A34" s="36" t="n">
        <v>38018</v>
      </c>
      <c r="B34" s="37" t="inlineStr">
        <is>
          <t>CH3: Đăng tin tuyển dụng (Thủ công)</t>
        </is>
      </c>
      <c r="C34" s="37" t="inlineStr">
        <is>
          <t>Thiết kế UI/UX form tạo tin nhanh, giao diện lưu nháp và tiếp tục chỉnh sửa</t>
        </is>
      </c>
      <c r="D34" s="38" t="inlineStr">
        <is>
          <t>UI/UX</t>
        </is>
      </c>
      <c r="E34" s="38" t="inlineStr">
        <is>
          <t>Ngân</t>
        </is>
      </c>
      <c r="F34" s="38" t="inlineStr">
        <is>
          <t>3 ngày</t>
        </is>
      </c>
      <c r="G34" s="39" t="n">
        <v>46285</v>
      </c>
      <c r="H34" s="39" t="n">
        <v>46287</v>
      </c>
      <c r="I34" s="36" t="n">
        <v>37987</v>
      </c>
      <c r="J34" s="40" t="n">
        <v>0</v>
      </c>
      <c r="K34" s="37" t="inlineStr">
        <is>
          <t>Form tạo tin nhanh &amp; Lưu nháp</t>
        </is>
      </c>
    </row>
    <row r="35">
      <c r="A35" s="36" t="n">
        <v>38384</v>
      </c>
      <c r="B35" s="37" t="inlineStr">
        <is>
          <t>CH3: Đăng tin tuyển dụng (AI)</t>
        </is>
      </c>
      <c r="C35" s="37" t="inlineStr">
        <is>
          <t>Thiết kế UI/UX khung chat tương tác với AI và màn hình preview bản nháp tin do AI gợi ý</t>
        </is>
      </c>
      <c r="D35" s="38" t="inlineStr">
        <is>
          <t>UI/UX</t>
        </is>
      </c>
      <c r="E35" s="38" t="inlineStr">
        <is>
          <t>Ngân</t>
        </is>
      </c>
      <c r="F35" s="38" t="inlineStr">
        <is>
          <t>3 ngày</t>
        </is>
      </c>
      <c r="G35" s="39" t="n">
        <v>46287</v>
      </c>
      <c r="H35" s="39" t="n">
        <v>46289</v>
      </c>
      <c r="I35" s="36" t="n">
        <v>38353</v>
      </c>
      <c r="J35" s="40" t="n">
        <v>0</v>
      </c>
      <c r="K35" s="37" t="inlineStr">
        <is>
          <t>Khung chat AI &amp; Preview tin nháp</t>
        </is>
      </c>
    </row>
    <row r="36">
      <c r="A36" s="36" t="n">
        <v>38749</v>
      </c>
      <c r="B36" s="37" t="inlineStr">
        <is>
          <t>CH3: Đăng tin tuyển dụng (Hoàn thiện)</t>
        </is>
      </c>
      <c r="C36" s="37" t="inlineStr">
        <is>
          <t>Thiết kế UI/UX form chỉnh sửa chi tiết tin đăng, component chọn vị trí bản đồ</t>
        </is>
      </c>
      <c r="D36" s="38" t="inlineStr">
        <is>
          <t>UI/UX</t>
        </is>
      </c>
      <c r="E36" s="38" t="inlineStr">
        <is>
          <t>Ngân</t>
        </is>
      </c>
      <c r="F36" s="38" t="inlineStr">
        <is>
          <t>3 ngày</t>
        </is>
      </c>
      <c r="G36" s="39" t="n">
        <v>46288</v>
      </c>
      <c r="H36" s="39" t="n">
        <v>46290</v>
      </c>
      <c r="I36" s="36" t="n">
        <v>38718</v>
      </c>
      <c r="J36" s="40" t="n">
        <v>0</v>
      </c>
      <c r="K36" s="37" t="inlineStr">
        <is>
          <t>Form chi tiết &amp; Map Picker component</t>
        </is>
      </c>
    </row>
    <row r="37">
      <c r="A37" s="36" t="n">
        <v>41306</v>
      </c>
      <c r="B37" s="37" t="inlineStr">
        <is>
          <t>CH8: Đặt lịch &amp; Quản lý Phỏng vấn</t>
        </is>
      </c>
      <c r="C37" s="37" t="inlineStr">
        <is>
          <t>Thiết kế UI/UX form lên lịch phỏng vấn, modal chọn hình thức họp và màn hình quản lý lịch</t>
        </is>
      </c>
      <c r="D37" s="38" t="inlineStr">
        <is>
          <t>UI/UX</t>
        </is>
      </c>
      <c r="E37" s="38" t="inlineStr">
        <is>
          <t>Ngân</t>
        </is>
      </c>
      <c r="F37" s="38" t="inlineStr">
        <is>
          <t>3 ngày</t>
        </is>
      </c>
      <c r="G37" s="39" t="n">
        <v>46288</v>
      </c>
      <c r="H37" s="39" t="n">
        <v>46290</v>
      </c>
      <c r="I37" s="36" t="n">
        <v>41275</v>
      </c>
      <c r="J37" s="40" t="n">
        <v>0</v>
      </c>
      <c r="K37" s="37" t="inlineStr">
        <is>
          <t>Tính năng trọng tâm - Lên lịch hẹn</t>
        </is>
      </c>
    </row>
    <row r="38">
      <c r="A38" s="36" t="n">
        <v>39114</v>
      </c>
      <c r="B38" s="37" t="inlineStr">
        <is>
          <t>CH4: Quản lý danh sách tin &amp; Gia hạn (Vòng đời)</t>
        </is>
      </c>
      <c r="C38" s="37" t="inlineStr">
        <is>
          <t>Thiết kế UI/UX danh sách tin tuyển dụng, nút thao tác trạng thái và popup xác nhận</t>
        </is>
      </c>
      <c r="D38" s="38" t="inlineStr">
        <is>
          <t>UI/UX</t>
        </is>
      </c>
      <c r="E38" s="38" t="inlineStr">
        <is>
          <t>Ngân</t>
        </is>
      </c>
      <c r="F38" s="38" t="inlineStr">
        <is>
          <t>3 ngày</t>
        </is>
      </c>
      <c r="G38" s="39" t="n">
        <v>46289</v>
      </c>
      <c r="H38" s="39" t="n">
        <v>46291</v>
      </c>
      <c r="I38" s="36" t="n">
        <v>39083</v>
      </c>
      <c r="J38" s="40" t="n">
        <v>0</v>
      </c>
      <c r="K38" s="37" t="inlineStr">
        <is>
          <t>Danh sách tin &amp; Nút thao tác trạng thái</t>
        </is>
      </c>
    </row>
    <row r="39">
      <c r="A39" s="36" t="n">
        <v>39479</v>
      </c>
      <c r="B39" s="37" t="inlineStr">
        <is>
          <t>CH4: Quản lý danh sách tin &amp; Gia hạn (Ghim tin)</t>
        </is>
      </c>
      <c r="C39" s="37" t="inlineStr">
        <is>
          <t>Thiết kế UI/UX popup cài đặt thời gian ghim tin và badge hiển thị tin ưu tiên</t>
        </is>
      </c>
      <c r="D39" s="38" t="inlineStr">
        <is>
          <t>UI/UX</t>
        </is>
      </c>
      <c r="E39" s="38" t="inlineStr">
        <is>
          <t>Ngân</t>
        </is>
      </c>
      <c r="F39" s="38" t="inlineStr">
        <is>
          <t>2 ngày</t>
        </is>
      </c>
      <c r="G39" s="39" t="n">
        <v>46290</v>
      </c>
      <c r="H39" s="39" t="n">
        <v>46291</v>
      </c>
      <c r="I39" s="36" t="n">
        <v>39448</v>
      </c>
      <c r="J39" s="40" t="n">
        <v>0</v>
      </c>
      <c r="K39" s="37" t="inlineStr">
        <is>
          <t>Popup cài đặt thời gian ghim tin</t>
        </is>
      </c>
    </row>
    <row r="40">
      <c r="A40" s="36" t="n">
        <v>39845</v>
      </c>
      <c r="B40" s="37" t="inlineStr">
        <is>
          <t>CH5: Tìm kiếm Ứng viên</t>
        </is>
      </c>
      <c r="C40" s="37" t="inlineStr">
        <is>
          <t>Thiết kế UI/UX trang gợi ý ứng viên, thẻ ứng viên kèm điểm phù hợp và lý do</t>
        </is>
      </c>
      <c r="D40" s="38" t="inlineStr">
        <is>
          <t>UI/UX</t>
        </is>
      </c>
      <c r="E40" s="38" t="inlineStr">
        <is>
          <t>Ngân</t>
        </is>
      </c>
      <c r="F40" s="38" t="inlineStr">
        <is>
          <t>3 ngày</t>
        </is>
      </c>
      <c r="G40" s="39" t="n">
        <v>46291</v>
      </c>
      <c r="H40" s="39" t="n">
        <v>46293</v>
      </c>
      <c r="I40" s="36" t="n">
        <v>39814</v>
      </c>
      <c r="J40" s="40" t="n">
        <v>0</v>
      </c>
      <c r="K40" s="37" t="inlineStr">
        <is>
          <t>Trang gợi ý ứng viên &amp; Điểm match</t>
        </is>
      </c>
    </row>
    <row r="41">
      <c r="A41" s="36" t="n">
        <v>40210</v>
      </c>
      <c r="B41" s="37" t="inlineStr">
        <is>
          <t>CH6: Mời Ứng viên ứng tuyển</t>
        </is>
      </c>
      <c r="C41" s="37" t="inlineStr">
        <is>
          <t>Thiết kế UI/UX popup gửi lời mời ứng tuyển, chọn tin tuyển dụng và nhập lời nhắn</t>
        </is>
      </c>
      <c r="D41" s="38" t="inlineStr">
        <is>
          <t>UI/UX</t>
        </is>
      </c>
      <c r="E41" s="38" t="inlineStr">
        <is>
          <t>Ngân</t>
        </is>
      </c>
      <c r="F41" s="38" t="inlineStr">
        <is>
          <t>2 ngày</t>
        </is>
      </c>
      <c r="G41" s="39" t="n">
        <v>46292</v>
      </c>
      <c r="H41" s="39" t="n">
        <v>46293</v>
      </c>
      <c r="I41" s="36" t="n">
        <v>40179</v>
      </c>
      <c r="J41" s="40" t="n">
        <v>0</v>
      </c>
      <c r="K41" s="37" t="inlineStr">
        <is>
          <t>Popup gửi lời mời ứng tuyển</t>
        </is>
      </c>
    </row>
    <row r="42">
      <c r="A42" s="36" t="n">
        <v>40575</v>
      </c>
      <c r="B42" s="37" t="inlineStr">
        <is>
          <t>CH7: Quản lý đơn ứng tuyển</t>
        </is>
      </c>
      <c r="C42" s="37" t="inlineStr">
        <is>
          <t>Thiết kế UI/UX giao diện Pipeline dạng Kanban board và dạng danh sách chi tiết</t>
        </is>
      </c>
      <c r="D42" s="38" t="inlineStr">
        <is>
          <t>UI/UX</t>
        </is>
      </c>
      <c r="E42" s="38" t="inlineStr">
        <is>
          <t>Ngân</t>
        </is>
      </c>
      <c r="F42" s="38" t="inlineStr">
        <is>
          <t>4 ngày</t>
        </is>
      </c>
      <c r="G42" s="39" t="n">
        <v>46292</v>
      </c>
      <c r="H42" s="39" t="n">
        <v>46295</v>
      </c>
      <c r="I42" s="36" t="n">
        <v>40544</v>
      </c>
      <c r="J42" s="40" t="n">
        <v>0</v>
      </c>
      <c r="K42" s="37" t="inlineStr">
        <is>
          <t>Giao diện Pipeline Kanban kéo thả</t>
        </is>
      </c>
    </row>
    <row r="43">
      <c r="A43" s="36" t="n">
        <v>40940</v>
      </c>
      <c r="B43" s="37" t="inlineStr">
        <is>
          <t>CH7: Quản lý đơn ứng tuyển (Đánh giá)</t>
        </is>
      </c>
      <c r="C43" s="37" t="inlineStr">
        <is>
          <t>Thiết kế UI/UX khu vực đánh giá ứng viên và khung ghi chú nội bộ bảo mật</t>
        </is>
      </c>
      <c r="D43" s="38" t="inlineStr">
        <is>
          <t>UI/UX</t>
        </is>
      </c>
      <c r="E43" s="38" t="inlineStr">
        <is>
          <t>Ngân</t>
        </is>
      </c>
      <c r="F43" s="38" t="inlineStr">
        <is>
          <t>3 ngày</t>
        </is>
      </c>
      <c r="G43" s="39" t="n">
        <v>46293</v>
      </c>
      <c r="H43" s="39" t="n">
        <v>46295</v>
      </c>
      <c r="I43" s="36" t="n">
        <v>40909</v>
      </c>
      <c r="J43" s="40" t="n">
        <v>0</v>
      </c>
      <c r="K43" s="37" t="inlineStr">
        <is>
          <t>Khu vực đánh giá &amp; Ghi chú nội bộ</t>
        </is>
      </c>
    </row>
    <row r="44">
      <c r="A44" s="36" t="n">
        <v>42767</v>
      </c>
      <c r="B44" s="37" t="inlineStr">
        <is>
          <t>CH15: Thông báo</t>
        </is>
      </c>
      <c r="C44" s="37" t="inlineStr">
        <is>
          <t>Thiết kế UI/UX Notification Center: chuông thông báo, popup thông báo nổi và trang chi tiết</t>
        </is>
      </c>
      <c r="D44" s="38" t="inlineStr">
        <is>
          <t>UI/UX</t>
        </is>
      </c>
      <c r="E44" s="38" t="inlineStr">
        <is>
          <t>Ngân</t>
        </is>
      </c>
      <c r="F44" s="38" t="inlineStr">
        <is>
          <t>3 ngày</t>
        </is>
      </c>
      <c r="G44" s="39" t="n">
        <v>46295</v>
      </c>
      <c r="H44" s="39" t="n">
        <v>46297</v>
      </c>
      <c r="I44" s="36" t="n">
        <v>42736</v>
      </c>
      <c r="J44" s="40" t="n">
        <v>0</v>
      </c>
      <c r="K44" s="37" t="inlineStr">
        <is>
          <t>Notification Center: chuông &amp; popup</t>
        </is>
      </c>
    </row>
    <row r="45">
      <c r="A45" s="62" t="n"/>
      <c r="B45" s="66" t="n"/>
      <c r="C45" s="66" t="n"/>
      <c r="D45" s="62" t="n"/>
      <c r="E45" s="62" t="n"/>
      <c r="F45" s="62" t="n"/>
      <c r="G45" s="63" t="n"/>
      <c r="H45" s="63" t="n"/>
      <c r="I45" s="58" t="n"/>
      <c r="J45" s="65" t="n"/>
      <c r="K45" s="66" t="n"/>
    </row>
    <row r="46">
      <c r="A46" s="62" t="n"/>
      <c r="B46" s="66" t="n"/>
      <c r="C46" s="66" t="n"/>
      <c r="D46" s="62" t="n"/>
      <c r="E46" s="62" t="n"/>
      <c r="F46" s="62" t="n"/>
      <c r="G46" s="63" t="n"/>
      <c r="H46" s="63" t="n"/>
      <c r="I46" s="58" t="n"/>
      <c r="J46" s="65" t="n"/>
      <c r="K46" s="66" t="n"/>
    </row>
    <row r="47">
      <c r="A47" s="62" t="n"/>
      <c r="B47" s="66" t="n"/>
      <c r="C47" s="66" t="n"/>
      <c r="D47" s="62" t="n"/>
      <c r="E47" s="62" t="n"/>
      <c r="F47" s="62" t="n"/>
      <c r="G47" s="63" t="n"/>
      <c r="H47" s="63" t="n"/>
      <c r="I47" s="58" t="n"/>
      <c r="J47" s="65" t="n"/>
      <c r="K47" s="66" t="n"/>
    </row>
    <row r="48">
      <c r="A48" s="31" t="n">
        <v>46082</v>
      </c>
      <c r="B48" s="32" t="inlineStr">
        <is>
          <t>GIAI ĐOẠN 2 &amp; 3 (W3-W9): PHÁT TRIỂN BACKEND &amp; CƠ SỞ DỮ LIỆU (DEV BE - MVP &amp; FINAL)</t>
        </is>
      </c>
      <c r="C48" s="32" t="inlineStr">
        <is>
          <t>Xây dựng toàn bộ API dịch vụ, CSDL; ưu tiên Demo W4 (TN14-16), MVP W7 và Final trước 07/11</t>
        </is>
      </c>
      <c r="D48" s="33" t="n"/>
      <c r="E48" s="33" t="n"/>
      <c r="F48" s="33" t="inlineStr">
        <is>
          <t>44 ngày</t>
        </is>
      </c>
      <c r="G48" s="34" t="n">
        <v>46287</v>
      </c>
      <c r="H48" s="34" t="n">
        <v>46330</v>
      </c>
      <c r="I48" s="33" t="inlineStr">
        <is>
          <t>1.1, 1.2</t>
        </is>
      </c>
      <c r="J48" s="35">
        <f>AVERAGE(J49:J70)</f>
        <v/>
      </c>
      <c r="K48" s="32" t="inlineStr">
        <is>
          <t>22 đầu việc BE - Ưu tiên Demo W4 (TN14-16), MVP W7 và Final trước 07/11</t>
        </is>
      </c>
    </row>
    <row r="49">
      <c r="A49" s="41" t="n">
        <v>43160</v>
      </c>
      <c r="B49" s="42" t="inlineStr">
        <is>
          <t>CH9: Gửi Offer &amp; Quản lý Offer</t>
        </is>
      </c>
      <c r="C49" s="42" t="inlineStr">
        <is>
          <t>Phát triển API tạo offer, gửi thư đề xuất nhận việc và cập nhật phản hồi offer</t>
        </is>
      </c>
      <c r="D49" s="43" t="inlineStr">
        <is>
          <t>FO - BE</t>
        </is>
      </c>
      <c r="E49" s="43" t="inlineStr">
        <is>
          <t>Quang</t>
        </is>
      </c>
      <c r="F49" s="43" t="inlineStr">
        <is>
          <t>4 ngày</t>
        </is>
      </c>
      <c r="G49" s="44" t="n">
        <v>46287</v>
      </c>
      <c r="H49" s="44" t="n">
        <v>46290</v>
      </c>
      <c r="I49" s="41" t="n">
        <v>41671</v>
      </c>
      <c r="J49" s="45" t="n">
        <v>0</v>
      </c>
      <c r="K49" s="42" t="inlineStr">
        <is>
          <t>★ Ưu tiên Demo W4 (T2 28/09)</t>
        </is>
      </c>
    </row>
    <row r="50">
      <c r="A50" s="41" t="n">
        <v>43525</v>
      </c>
      <c r="B50" s="42" t="inlineStr">
        <is>
          <t>CH13: Nhắn tin với Ứng viên</t>
        </is>
      </c>
      <c r="C50" s="42" t="inlineStr">
        <is>
          <t>Phát triển Chat Service (WebSocket), API tích hợp AI đề xuất phản hồi cho NTD</t>
        </is>
      </c>
      <c r="D50" s="43" t="inlineStr">
        <is>
          <t>FO - BE</t>
        </is>
      </c>
      <c r="E50" s="43" t="inlineStr">
        <is>
          <t>Nghĩa</t>
        </is>
      </c>
      <c r="F50" s="43" t="inlineStr">
        <is>
          <t>4 ngày</t>
        </is>
      </c>
      <c r="G50" s="44" t="n">
        <v>46287</v>
      </c>
      <c r="H50" s="44" t="n">
        <v>46290</v>
      </c>
      <c r="I50" s="41" t="n">
        <v>42036</v>
      </c>
      <c r="J50" s="45" t="n">
        <v>0</v>
      </c>
      <c r="K50" s="42" t="inlineStr">
        <is>
          <t>★ Ưu tiên Demo W4 (T2 28/09)</t>
        </is>
      </c>
    </row>
    <row r="51">
      <c r="A51" s="41" t="n">
        <v>43891</v>
      </c>
      <c r="B51" s="42" t="inlineStr">
        <is>
          <t>CH16: Trợ lý AI và quản lý tri thức</t>
        </is>
      </c>
      <c r="C51" s="42" t="inlineStr">
        <is>
          <t>Phát triển API kết nối AI Assistant, quản lý vector database nguồn tri thức của cơ sở KD</t>
        </is>
      </c>
      <c r="D51" s="43" t="inlineStr">
        <is>
          <t>FO - BE</t>
        </is>
      </c>
      <c r="E51" s="43" t="inlineStr">
        <is>
          <t>Nghĩa</t>
        </is>
      </c>
      <c r="F51" s="43" t="inlineStr">
        <is>
          <t>5 ngày</t>
        </is>
      </c>
      <c r="G51" s="44" t="n">
        <v>46287</v>
      </c>
      <c r="H51" s="44" t="n">
        <v>46291</v>
      </c>
      <c r="I51" s="41" t="n">
        <v>42401</v>
      </c>
      <c r="J51" s="45" t="n">
        <v>0</v>
      </c>
      <c r="K51" s="42" t="inlineStr">
        <is>
          <t>★ Ưu tiên Demo W4 (T2 28/09)</t>
        </is>
      </c>
    </row>
    <row r="52">
      <c r="A52" s="41" t="n">
        <v>44256</v>
      </c>
      <c r="B52" s="42" t="inlineStr">
        <is>
          <t>CH16: Trợ lý AI và quản lý tri thức</t>
        </is>
      </c>
      <c r="C52" s="42" t="inlineStr">
        <is>
          <t>Phát triển API quản lý mô hình AI, giám sát giới hạn token và chi phí API</t>
        </is>
      </c>
      <c r="D52" s="43" t="inlineStr">
        <is>
          <t>BO - BE</t>
        </is>
      </c>
      <c r="E52" s="43" t="inlineStr">
        <is>
          <t>Kiên</t>
        </is>
      </c>
      <c r="F52" s="43" t="inlineStr">
        <is>
          <t>4 ngày</t>
        </is>
      </c>
      <c r="G52" s="44" t="n">
        <v>46288</v>
      </c>
      <c r="H52" s="44" t="n">
        <v>46291</v>
      </c>
      <c r="I52" s="41" t="n">
        <v>43891</v>
      </c>
      <c r="J52" s="45" t="n">
        <v>0</v>
      </c>
      <c r="K52" s="42" t="inlineStr">
        <is>
          <t>★ Ưu tiên Demo W4 (T2 28/09)</t>
        </is>
      </c>
    </row>
    <row r="53">
      <c r="A53" s="36" t="n">
        <v>36951</v>
      </c>
      <c r="B53" s="37" t="inlineStr">
        <is>
          <t>CH1: Đăng ký, Đăng nhập &amp; Xác minh CHKD</t>
        </is>
      </c>
      <c r="C53" s="37" t="inlineStr">
        <is>
          <t>Phát triển API đăng ký, đăng nhập, cấp token xác thực và gửi OTP email</t>
        </is>
      </c>
      <c r="D53" s="38" t="inlineStr">
        <is>
          <t>FO - BE</t>
        </is>
      </c>
      <c r="E53" s="38" t="inlineStr">
        <is>
          <t>Quang</t>
        </is>
      </c>
      <c r="F53" s="38" t="inlineStr">
        <is>
          <t>3 ngày</t>
        </is>
      </c>
      <c r="G53" s="39" t="n">
        <v>46293</v>
      </c>
      <c r="H53" s="39" t="n">
        <v>46295</v>
      </c>
      <c r="I53" s="36" t="n">
        <v>36923</v>
      </c>
      <c r="J53" s="40" t="n">
        <v>0</v>
      </c>
      <c r="K53" s="37" t="inlineStr">
        <is>
          <t>API Auth, Token &amp; OTP email</t>
        </is>
      </c>
    </row>
    <row r="54">
      <c r="A54" s="36" t="n">
        <v>37316</v>
      </c>
      <c r="B54" s="37" t="inlineStr">
        <is>
          <t>CH1: Đăng ký, Đăng nhập &amp; Xác minh CHKD</t>
        </is>
      </c>
      <c r="C54" s="37" t="inlineStr">
        <is>
          <t>Phát triển API quản lý danh sách tài khoản NTD, kích hoạt và khóa tài khoản</t>
        </is>
      </c>
      <c r="D54" s="38" t="inlineStr">
        <is>
          <t>BO - BE</t>
        </is>
      </c>
      <c r="E54" s="38" t="inlineStr">
        <is>
          <t>Quang</t>
        </is>
      </c>
      <c r="F54" s="38" t="inlineStr">
        <is>
          <t>3 ngày</t>
        </is>
      </c>
      <c r="G54" s="39" t="n">
        <v>46294</v>
      </c>
      <c r="H54" s="39" t="n">
        <v>46296</v>
      </c>
      <c r="I54" s="36" t="n">
        <v>36951</v>
      </c>
      <c r="J54" s="40" t="n">
        <v>0</v>
      </c>
      <c r="K54" s="37" t="inlineStr">
        <is>
          <t>API Quản lý tài khoản NTD Admin</t>
        </is>
      </c>
    </row>
    <row r="55">
      <c r="A55" s="36" t="n">
        <v>37681</v>
      </c>
      <c r="B55" s="37" t="inlineStr">
        <is>
          <t>CH2: Quản lý Hồ sơ Chủ hộ KD</t>
        </is>
      </c>
      <c r="C55" s="37" t="inlineStr">
        <is>
          <t>Phát triển API cập nhật thông tin cơ sở, kiểm tra tính đầy đủ hồ sơ trước khi đăng tin</t>
        </is>
      </c>
      <c r="D55" s="38" t="inlineStr">
        <is>
          <t>FO - BE</t>
        </is>
      </c>
      <c r="E55" s="38" t="inlineStr">
        <is>
          <t>Quang</t>
        </is>
      </c>
      <c r="F55" s="38" t="inlineStr">
        <is>
          <t>3 ngày</t>
        </is>
      </c>
      <c r="G55" s="39" t="n">
        <v>46295</v>
      </c>
      <c r="H55" s="39" t="n">
        <v>46297</v>
      </c>
      <c r="I55" s="36" t="n">
        <v>37288</v>
      </c>
      <c r="J55" s="40" t="n">
        <v>0</v>
      </c>
      <c r="K55" s="37" t="inlineStr">
        <is>
          <t>Điều kiện cần để tuyển dụng</t>
        </is>
      </c>
    </row>
    <row r="56">
      <c r="A56" s="36" t="n">
        <v>38047</v>
      </c>
      <c r="B56" s="37" t="inlineStr">
        <is>
          <t>CH2: Quản lý Hồ sơ Chủ hộ KD</t>
        </is>
      </c>
      <c r="C56" s="37" t="inlineStr">
        <is>
          <t>Phát triển API kiểm duyệt hồ sơ hộ kinh doanh, lưu trạng thái xác thực</t>
        </is>
      </c>
      <c r="D56" s="38" t="inlineStr">
        <is>
          <t>BO - BE</t>
        </is>
      </c>
      <c r="E56" s="38" t="inlineStr">
        <is>
          <t>Quang</t>
        </is>
      </c>
      <c r="F56" s="38" t="inlineStr">
        <is>
          <t>3 ngày</t>
        </is>
      </c>
      <c r="G56" s="39" t="n">
        <v>46296</v>
      </c>
      <c r="H56" s="39" t="n">
        <v>46298</v>
      </c>
      <c r="I56" s="36" t="n">
        <v>37681</v>
      </c>
      <c r="J56" s="40" t="n">
        <v>0</v>
      </c>
      <c r="K56" s="37" t="inlineStr">
        <is>
          <t>API Kiểm duyệt hồ sơ cơ sở KD</t>
        </is>
      </c>
    </row>
    <row r="57">
      <c r="A57" s="36" t="n">
        <v>38412</v>
      </c>
      <c r="B57" s="37" t="inlineStr">
        <is>
          <t>CH14: Trang tổng quan Mobile / Web</t>
        </is>
      </c>
      <c r="C57" s="37" t="inlineStr">
        <is>
          <t>Phát triển API tổng hợp số liệu tuyển dụng real-time và danh sách việc cần xử lý</t>
        </is>
      </c>
      <c r="D57" s="38" t="inlineStr">
        <is>
          <t>FO - BE</t>
        </is>
      </c>
      <c r="E57" s="38" t="inlineStr">
        <is>
          <t>Nghĩa</t>
        </is>
      </c>
      <c r="F57" s="38" t="inlineStr">
        <is>
          <t>3 ngày</t>
        </is>
      </c>
      <c r="G57" s="39" t="n">
        <v>46297</v>
      </c>
      <c r="H57" s="39" t="n">
        <v>46299</v>
      </c>
      <c r="I57" s="36" t="n">
        <v>37653</v>
      </c>
      <c r="J57" s="40" t="n">
        <v>0</v>
      </c>
      <c r="K57" s="37" t="inlineStr">
        <is>
          <t>API Tổng hợp số liệu Dashboard NTD</t>
        </is>
      </c>
    </row>
    <row r="58">
      <c r="A58" s="36" t="n">
        <v>38777</v>
      </c>
      <c r="B58" s="37" t="inlineStr">
        <is>
          <t>CH3: Đăng tin tuyển dụng (Thủ công)</t>
        </is>
      </c>
      <c r="C58" s="37" t="inlineStr">
        <is>
          <t>Phát triển API tạo mới và lưu nháp tin tuyển dụng thủ công</t>
        </is>
      </c>
      <c r="D58" s="38" t="inlineStr">
        <is>
          <t>FO - BE</t>
        </is>
      </c>
      <c r="E58" s="38" t="inlineStr">
        <is>
          <t>Nghĩa</t>
        </is>
      </c>
      <c r="F58" s="38" t="inlineStr">
        <is>
          <t>3 ngày</t>
        </is>
      </c>
      <c r="G58" s="39" t="n">
        <v>46298</v>
      </c>
      <c r="H58" s="39" t="n">
        <v>46300</v>
      </c>
      <c r="I58" s="36" t="n">
        <v>38018</v>
      </c>
      <c r="J58" s="40" t="n">
        <v>0</v>
      </c>
      <c r="K58" s="37" t="inlineStr">
        <is>
          <t>API Tạo mới &amp; Lưu nháp tin đăng</t>
        </is>
      </c>
    </row>
    <row r="59">
      <c r="A59" s="36" t="n">
        <v>39142</v>
      </c>
      <c r="B59" s="37" t="inlineStr">
        <is>
          <t>CH3: Đăng tin tuyển dụng (AI)</t>
        </is>
      </c>
      <c r="C59" s="37" t="inlineStr">
        <is>
          <t>Phát triển API tích hợp LLM sinh nội dung tin tuyển dụng và mapping dữ liệu bản nháp</t>
        </is>
      </c>
      <c r="D59" s="38" t="inlineStr">
        <is>
          <t>FO - BE</t>
        </is>
      </c>
      <c r="E59" s="38" t="inlineStr">
        <is>
          <t>Nghĩa</t>
        </is>
      </c>
      <c r="F59" s="38" t="inlineStr">
        <is>
          <t>4 ngày</t>
        </is>
      </c>
      <c r="G59" s="39" t="n">
        <v>46300</v>
      </c>
      <c r="H59" s="39" t="n">
        <v>46303</v>
      </c>
      <c r="I59" s="36" t="n">
        <v>38384</v>
      </c>
      <c r="J59" s="40" t="n">
        <v>0</v>
      </c>
      <c r="K59" s="37" t="inlineStr">
        <is>
          <t>Tích hợp LLM sinh tin tuyển dụng</t>
        </is>
      </c>
    </row>
    <row r="60">
      <c r="A60" s="36" t="n">
        <v>39508</v>
      </c>
      <c r="B60" s="37" t="inlineStr">
        <is>
          <t>CH3: Đăng tin tuyển dụng (Hoàn thiện)</t>
        </is>
      </c>
      <c r="C60" s="37" t="inlineStr">
        <is>
          <t>Phát triển API cập nhật chi tiết tin tuyển dụng, lưu tọa độ GPS và tiêu chí lọc</t>
        </is>
      </c>
      <c r="D60" s="38" t="inlineStr">
        <is>
          <t>FO - BE</t>
        </is>
      </c>
      <c r="E60" s="38" t="inlineStr">
        <is>
          <t>Quang</t>
        </is>
      </c>
      <c r="F60" s="38" t="inlineStr">
        <is>
          <t>3 ngày</t>
        </is>
      </c>
      <c r="G60" s="39" t="n">
        <v>46301</v>
      </c>
      <c r="H60" s="39" t="n">
        <v>46303</v>
      </c>
      <c r="I60" s="36" t="n">
        <v>38749</v>
      </c>
      <c r="J60" s="40" t="n">
        <v>0</v>
      </c>
      <c r="K60" s="37" t="inlineStr">
        <is>
          <t>API Cập nhật chi tiết &amp; GPS bản đồ</t>
        </is>
      </c>
    </row>
    <row r="61">
      <c r="A61" s="36" t="n">
        <v>39873</v>
      </c>
      <c r="B61" s="37" t="inlineStr">
        <is>
          <t>CH4: Quản lý danh sách tin &amp; Gia hạn (Vòng đời)</t>
        </is>
      </c>
      <c r="C61" s="37" t="inlineStr">
        <is>
          <t>Phát triển API chuyển trạng thái tin (Publish, Pause, Reopen, Close, Delete)</t>
        </is>
      </c>
      <c r="D61" s="38" t="inlineStr">
        <is>
          <t>FO - BE</t>
        </is>
      </c>
      <c r="E61" s="38" t="inlineStr">
        <is>
          <t>Quang</t>
        </is>
      </c>
      <c r="F61" s="38" t="inlineStr">
        <is>
          <t>3 ngày</t>
        </is>
      </c>
      <c r="G61" s="39" t="n">
        <v>46303</v>
      </c>
      <c r="H61" s="39" t="n">
        <v>46305</v>
      </c>
      <c r="I61" s="36" t="n">
        <v>39114</v>
      </c>
      <c r="J61" s="40" t="n">
        <v>0</v>
      </c>
      <c r="K61" s="37" t="inlineStr">
        <is>
          <t>API Chuyển trạng thái tin đăng</t>
        </is>
      </c>
    </row>
    <row r="62">
      <c r="A62" s="36" t="n">
        <v>40238</v>
      </c>
      <c r="B62" s="37" t="inlineStr">
        <is>
          <t>CH4: Quản lý danh sách tin &amp; Gia hạn (Vòng đời)</t>
        </is>
      </c>
      <c r="C62" s="37" t="inlineStr">
        <is>
          <t>Phát triển API kiểm duyệt tin đăng, khóa hoặc hạ tin vi phạm quy định</t>
        </is>
      </c>
      <c r="D62" s="38" t="inlineStr">
        <is>
          <t>BO - BE</t>
        </is>
      </c>
      <c r="E62" s="38" t="inlineStr">
        <is>
          <t>Quang</t>
        </is>
      </c>
      <c r="F62" s="38" t="inlineStr">
        <is>
          <t>3 ngày</t>
        </is>
      </c>
      <c r="G62" s="39" t="n">
        <v>46304</v>
      </c>
      <c r="H62" s="39" t="n">
        <v>46306</v>
      </c>
      <c r="I62" s="36" t="n">
        <v>39873</v>
      </c>
      <c r="J62" s="40" t="n">
        <v>0</v>
      </c>
      <c r="K62" s="37" t="inlineStr">
        <is>
          <t>API Kiểm duyệt tin đăng Admin</t>
        </is>
      </c>
    </row>
    <row r="63">
      <c r="A63" s="36" t="n">
        <v>40603</v>
      </c>
      <c r="B63" s="37" t="inlineStr">
        <is>
          <t>CH4: Quản lý danh sách tin &amp; Gia hạn (Ghim tin)</t>
        </is>
      </c>
      <c r="C63" s="37" t="inlineStr">
        <is>
          <t>Phát triển API ghim tin, lưu cấu hình lịch ghim và Job scheduler tự động gỡ ghim</t>
        </is>
      </c>
      <c r="D63" s="38" t="inlineStr">
        <is>
          <t>FO - BE</t>
        </is>
      </c>
      <c r="E63" s="38" t="inlineStr">
        <is>
          <t>Nghĩa</t>
        </is>
      </c>
      <c r="F63" s="38" t="inlineStr">
        <is>
          <t>3 ngày</t>
        </is>
      </c>
      <c r="G63" s="39" t="n">
        <v>46306</v>
      </c>
      <c r="H63" s="39" t="n">
        <v>46308</v>
      </c>
      <c r="I63" s="36" t="n">
        <v>39479</v>
      </c>
      <c r="J63" s="40" t="n">
        <v>0</v>
      </c>
      <c r="K63" s="37" t="inlineStr">
        <is>
          <t>API Ghim tin &amp; Scheduler gỡ ghim</t>
        </is>
      </c>
    </row>
    <row r="64">
      <c r="A64" s="36" t="n">
        <v>40969</v>
      </c>
      <c r="B64" s="37" t="inlineStr">
        <is>
          <t>CH4: Quản lý danh sách tin &amp; Gia hạn (Ghim tin)</t>
        </is>
      </c>
      <c r="C64" s="37" t="inlineStr">
        <is>
          <t>Phát triển API quản lý danh sách tin đang ghim và cấu hình vị trí ưu tiên hệ thống</t>
        </is>
      </c>
      <c r="D64" s="38" t="inlineStr">
        <is>
          <t>BO - BE</t>
        </is>
      </c>
      <c r="E64" s="38" t="inlineStr">
        <is>
          <t>Nghĩa</t>
        </is>
      </c>
      <c r="F64" s="38" t="inlineStr">
        <is>
          <t>2 ngày</t>
        </is>
      </c>
      <c r="G64" s="39" t="n">
        <v>46307</v>
      </c>
      <c r="H64" s="39" t="n">
        <v>46308</v>
      </c>
      <c r="I64" s="36" t="n">
        <v>40603</v>
      </c>
      <c r="J64" s="40" t="n">
        <v>0</v>
      </c>
      <c r="K64" s="37" t="inlineStr">
        <is>
          <t>API Cấu hình vị trí ưu tiên ghim</t>
        </is>
      </c>
    </row>
    <row r="65">
      <c r="A65" s="36" t="n">
        <v>41334</v>
      </c>
      <c r="B65" s="37" t="inlineStr">
        <is>
          <t>CH5: Tìm kiếm Ứng viên</t>
        </is>
      </c>
      <c r="C65" s="37" t="inlineStr">
        <is>
          <t>Phát triển API tính điểm Matching và lọc danh sách ứng viên phù hợp theo từng tin tuyển dụng</t>
        </is>
      </c>
      <c r="D65" s="38" t="inlineStr">
        <is>
          <t>FO - BE</t>
        </is>
      </c>
      <c r="E65" s="38" t="inlineStr">
        <is>
          <t>Nghĩa</t>
        </is>
      </c>
      <c r="F65" s="38" t="inlineStr">
        <is>
          <t>4 ngày</t>
        </is>
      </c>
      <c r="G65" s="39" t="n">
        <v>46308</v>
      </c>
      <c r="H65" s="39" t="n">
        <v>46311</v>
      </c>
      <c r="I65" s="36" t="n">
        <v>39845</v>
      </c>
      <c r="J65" s="40" t="n">
        <v>0</v>
      </c>
      <c r="K65" s="37" t="inlineStr">
        <is>
          <t>API Thuật toán Matching ứng viên NTD</t>
        </is>
      </c>
    </row>
    <row r="66">
      <c r="A66" s="36" t="n">
        <v>41699</v>
      </c>
      <c r="B66" s="37" t="inlineStr">
        <is>
          <t>CH6: Mời Ứng viên ứng tuyển</t>
        </is>
      </c>
      <c r="C66" s="37" t="inlineStr">
        <is>
          <t>Phát triển API gửi lời mời ứng tuyển, kiểm tra giới hạn lượt mời và gửi thông báo</t>
        </is>
      </c>
      <c r="D66" s="38" t="inlineStr">
        <is>
          <t>FO - BE</t>
        </is>
      </c>
      <c r="E66" s="38" t="inlineStr">
        <is>
          <t>Nghĩa</t>
        </is>
      </c>
      <c r="F66" s="38" t="inlineStr">
        <is>
          <t>3 ngày</t>
        </is>
      </c>
      <c r="G66" s="39" t="n">
        <v>46310</v>
      </c>
      <c r="H66" s="39" t="n">
        <v>46312</v>
      </c>
      <c r="I66" s="36" t="n">
        <v>40210</v>
      </c>
      <c r="J66" s="40" t="n">
        <v>0</v>
      </c>
      <c r="K66" s="37" t="inlineStr">
        <is>
          <t>API Gửi lời mời ứng tuyển trực tiếp</t>
        </is>
      </c>
    </row>
    <row r="67">
      <c r="A67" s="36" t="n">
        <v>42064</v>
      </c>
      <c r="B67" s="37" t="inlineStr">
        <is>
          <t>CH7: Quản lý đơn ứng tuyển</t>
        </is>
      </c>
      <c r="C67" s="37" t="inlineStr">
        <is>
          <t>Phát triển API quản lý Pipeline ứng viên, cập nhật trạng thái và lưu lịch sử chuyển giai đoạn</t>
        </is>
      </c>
      <c r="D67" s="38" t="inlineStr">
        <is>
          <t>FO - BE</t>
        </is>
      </c>
      <c r="E67" s="38" t="inlineStr">
        <is>
          <t>Quang</t>
        </is>
      </c>
      <c r="F67" s="38" t="inlineStr">
        <is>
          <t>4 ngày</t>
        </is>
      </c>
      <c r="G67" s="39" t="n">
        <v>46311</v>
      </c>
      <c r="H67" s="39" t="n">
        <v>46314</v>
      </c>
      <c r="I67" s="36" t="n">
        <v>40575</v>
      </c>
      <c r="J67" s="40" t="n">
        <v>0</v>
      </c>
      <c r="K67" s="37" t="inlineStr">
        <is>
          <t>API Quản lý Pipeline Kanban &amp; Log</t>
        </is>
      </c>
    </row>
    <row r="68">
      <c r="A68" s="36" t="n">
        <v>42430</v>
      </c>
      <c r="B68" s="37" t="inlineStr">
        <is>
          <t>CH7: Quản lý đơn ứng tuyển (Đánh giá)</t>
        </is>
      </c>
      <c r="C68" s="37" t="inlineStr">
        <is>
          <t>Phát triển API lưu và truy xuất ghi chú nội bộ, API phân tích dữ liệu ứng viên</t>
        </is>
      </c>
      <c r="D68" s="38" t="inlineStr">
        <is>
          <t>FO - BE</t>
        </is>
      </c>
      <c r="E68" s="38" t="inlineStr">
        <is>
          <t>Nghĩa</t>
        </is>
      </c>
      <c r="F68" s="38" t="inlineStr">
        <is>
          <t>3 ngày</t>
        </is>
      </c>
      <c r="G68" s="39" t="n">
        <v>46313</v>
      </c>
      <c r="H68" s="39" t="n">
        <v>46315</v>
      </c>
      <c r="I68" s="36" t="n">
        <v>40940</v>
      </c>
      <c r="J68" s="40" t="n">
        <v>0</v>
      </c>
      <c r="K68" s="37" t="inlineStr">
        <is>
          <t>API Lưu &amp; Truy xuất ghi chú nội bộ</t>
        </is>
      </c>
    </row>
    <row r="69">
      <c r="A69" s="36" t="n">
        <v>42795</v>
      </c>
      <c r="B69" s="37" t="inlineStr">
        <is>
          <t>CH8: Đặt lịch &amp; Quản lý Phỏng vấn</t>
        </is>
      </c>
      <c r="C69" s="37" t="inlineStr">
        <is>
          <t>Phát triển API tạo/hủy/cập nhật lịch phỏng vấn, tự động tạo phòng họp trực tuyến và gửi mail</t>
        </is>
      </c>
      <c r="D69" s="38" t="inlineStr">
        <is>
          <t>FO - BE</t>
        </is>
      </c>
      <c r="E69" s="38" t="inlineStr">
        <is>
          <t>Quang</t>
        </is>
      </c>
      <c r="F69" s="38" t="inlineStr">
        <is>
          <t>4 ngày</t>
        </is>
      </c>
      <c r="G69" s="39" t="n">
        <v>46314</v>
      </c>
      <c r="H69" s="39" t="n">
        <v>46317</v>
      </c>
      <c r="I69" s="36" t="n">
        <v>41306</v>
      </c>
      <c r="J69" s="40" t="n">
        <v>0</v>
      </c>
      <c r="K69" s="37" t="inlineStr">
        <is>
          <t>Tính năng trọng tâm - Tạo phòng họp</t>
        </is>
      </c>
    </row>
    <row r="70">
      <c r="A70" s="36" t="n">
        <v>44621</v>
      </c>
      <c r="B70" s="37" t="inlineStr">
        <is>
          <t>CH15: Thông báo</t>
        </is>
      </c>
      <c r="C70" s="37" t="inlineStr">
        <is>
          <t>Phát triển Service Notification đa kênh, API đánh dấu đã đọc và đếm thông báo chưa xem</t>
        </is>
      </c>
      <c r="D70" s="38" t="inlineStr">
        <is>
          <t>FO - BE</t>
        </is>
      </c>
      <c r="E70" s="38" t="inlineStr">
        <is>
          <t>Quang</t>
        </is>
      </c>
      <c r="F70" s="38" t="inlineStr">
        <is>
          <t>3 ngày</t>
        </is>
      </c>
      <c r="G70" s="39" t="n">
        <v>46318</v>
      </c>
      <c r="H70" s="39" t="n">
        <v>46320</v>
      </c>
      <c r="I70" s="36" t="n">
        <v>42767</v>
      </c>
      <c r="J70" s="40" t="n">
        <v>0</v>
      </c>
      <c r="K70" s="37" t="inlineStr">
        <is>
          <t>Service Notification đa kênh NTD</t>
        </is>
      </c>
    </row>
    <row r="71">
      <c r="A71" s="62" t="n"/>
      <c r="B71" s="66" t="n"/>
      <c r="C71" s="66" t="n"/>
      <c r="D71" s="62" t="n"/>
      <c r="E71" s="62" t="n"/>
      <c r="F71" s="62" t="n"/>
      <c r="G71" s="63" t="n"/>
      <c r="H71" s="63" t="n"/>
      <c r="I71" s="58" t="n"/>
      <c r="J71" s="65" t="n"/>
      <c r="K71" s="66" t="n"/>
    </row>
    <row r="72">
      <c r="A72" s="62" t="n"/>
      <c r="B72" s="66" t="n"/>
      <c r="C72" s="66" t="n"/>
      <c r="D72" s="62" t="n"/>
      <c r="E72" s="62" t="n"/>
      <c r="F72" s="62" t="n"/>
      <c r="G72" s="63" t="n"/>
      <c r="H72" s="63" t="n"/>
      <c r="I72" s="58" t="n"/>
      <c r="J72" s="65" t="n"/>
      <c r="K72" s="66" t="n"/>
    </row>
    <row r="73">
      <c r="A73" s="62" t="n"/>
      <c r="B73" s="66" t="n"/>
      <c r="C73" s="66" t="n"/>
      <c r="D73" s="62" t="n"/>
      <c r="E73" s="62" t="n"/>
      <c r="F73" s="62" t="n"/>
      <c r="G73" s="63" t="n"/>
      <c r="H73" s="63" t="n"/>
      <c r="I73" s="58" t="n"/>
      <c r="J73" s="65" t="n"/>
      <c r="K73" s="66" t="n"/>
    </row>
    <row r="74">
      <c r="A74" s="31" t="n">
        <v>46113</v>
      </c>
      <c r="B74" s="32" t="inlineStr">
        <is>
          <t>GIAI ĐOẠN 2 &amp; 3 (W3-W9): PHÁT TRIỂN GIAO DIỆN &amp; TÍCH HỢP (DEV FE - MVP &amp; FINAL)</t>
        </is>
      </c>
      <c r="C74" s="32" t="inlineStr">
        <is>
          <t>Xây dựng toàn bộ Web/Mobile Kênh NTD; ưu tiên Demo W4 (TN14-16), MVP W7 và Final trước 07/11</t>
        </is>
      </c>
      <c r="D74" s="33" t="n"/>
      <c r="E74" s="33" t="n"/>
      <c r="F74" s="33" t="inlineStr">
        <is>
          <t>44 ngày</t>
        </is>
      </c>
      <c r="G74" s="34" t="n">
        <v>46289</v>
      </c>
      <c r="H74" s="34" t="n">
        <v>46332</v>
      </c>
      <c r="I74" s="33" t="inlineStr">
        <is>
          <t>1.2, 1.3</t>
        </is>
      </c>
      <c r="J74" s="35">
        <f>AVERAGE(J75:J96)</f>
        <v/>
      </c>
      <c r="K74" s="32" t="inlineStr">
        <is>
          <t>22 đầu việc FE - Ưu tiên Demo W4 (TN14-16), MVP W7 và Final trước 07/11</t>
        </is>
      </c>
    </row>
    <row r="75">
      <c r="A75" s="41" t="n">
        <v>43191</v>
      </c>
      <c r="B75" s="42" t="inlineStr">
        <is>
          <t>CH9: Gửi Offer &amp; Quản lý Offer</t>
        </is>
      </c>
      <c r="C75" s="42" t="inlineStr">
        <is>
          <t>Phát triển giao diện tạo đề xuất nhận việc và bảng theo dõi trạng thái offer Kênh NTD</t>
        </is>
      </c>
      <c r="D75" s="43" t="inlineStr">
        <is>
          <t>FO - FE</t>
        </is>
      </c>
      <c r="E75" s="43" t="inlineStr">
        <is>
          <t>Kiên</t>
        </is>
      </c>
      <c r="F75" s="43" t="inlineStr">
        <is>
          <t>4 ngày</t>
        </is>
      </c>
      <c r="G75" s="44" t="n">
        <v>46289</v>
      </c>
      <c r="H75" s="44" t="n">
        <v>46292</v>
      </c>
      <c r="I75" s="41" t="n">
        <v>43160</v>
      </c>
      <c r="J75" s="45" t="n">
        <v>0</v>
      </c>
      <c r="K75" s="42" t="inlineStr">
        <is>
          <t>★ Ưu tiên Demo W4 (T2 28/09)</t>
        </is>
      </c>
    </row>
    <row r="76">
      <c r="A76" s="41" t="n">
        <v>43556</v>
      </c>
      <c r="B76" s="42" t="inlineStr">
        <is>
          <t>CH13: Nhắn tin với Ứng viên</t>
        </is>
      </c>
      <c r="C76" s="42" t="inlineStr">
        <is>
          <t>Phát triển giao diện chat Kênh NTD, khung hiển thị văn bản AI gợi ý và nút xác nhận gửi</t>
        </is>
      </c>
      <c r="D76" s="43" t="inlineStr">
        <is>
          <t>FO - FE</t>
        </is>
      </c>
      <c r="E76" s="43" t="inlineStr">
        <is>
          <t>Kiên</t>
        </is>
      </c>
      <c r="F76" s="43" t="inlineStr">
        <is>
          <t>4 ngày</t>
        </is>
      </c>
      <c r="G76" s="44" t="n">
        <v>46289</v>
      </c>
      <c r="H76" s="44" t="n">
        <v>46292</v>
      </c>
      <c r="I76" s="41" t="n">
        <v>43525</v>
      </c>
      <c r="J76" s="45" t="n">
        <v>0</v>
      </c>
      <c r="K76" s="42" t="inlineStr">
        <is>
          <t>★ Ưu tiên Demo W4 (T2 28/09)</t>
        </is>
      </c>
    </row>
    <row r="77">
      <c r="A77" s="41" t="n">
        <v>43922</v>
      </c>
      <c r="B77" s="42" t="inlineStr">
        <is>
          <t>CH16: Trợ lý AI và quản lý tri thức</t>
        </is>
      </c>
      <c r="C77" s="42" t="inlineStr">
        <is>
          <t>Phát triển giao diện trợ lý AI và màn hình thiết lập bộ nhớ tri thức AI trên Kênh NTD</t>
        </is>
      </c>
      <c r="D77" s="43" t="inlineStr">
        <is>
          <t>FO - FE</t>
        </is>
      </c>
      <c r="E77" s="43" t="inlineStr">
        <is>
          <t>Nghĩa</t>
        </is>
      </c>
      <c r="F77" s="43" t="inlineStr">
        <is>
          <t>4 ngày</t>
        </is>
      </c>
      <c r="G77" s="44" t="n">
        <v>46289</v>
      </c>
      <c r="H77" s="44" t="n">
        <v>46292</v>
      </c>
      <c r="I77" s="41" t="n">
        <v>43891</v>
      </c>
      <c r="J77" s="45" t="n">
        <v>0</v>
      </c>
      <c r="K77" s="42" t="inlineStr">
        <is>
          <t>★ Ưu tiên Demo W4 (T2 28/09)</t>
        </is>
      </c>
    </row>
    <row r="78">
      <c r="A78" s="41" t="n">
        <v>44287</v>
      </c>
      <c r="B78" s="42" t="inlineStr">
        <is>
          <t>CH16: Trợ lý AI và quản lý tri thức</t>
        </is>
      </c>
      <c r="C78" s="42" t="inlineStr">
        <is>
          <t>Phát triển màn hình Admin theo dõi hiệu năng và quản trị cấu hình AI toàn hệ thống</t>
        </is>
      </c>
      <c r="D78" s="43" t="inlineStr">
        <is>
          <t>BO - FE</t>
        </is>
      </c>
      <c r="E78" s="43" t="inlineStr">
        <is>
          <t>Nghĩa</t>
        </is>
      </c>
      <c r="F78" s="43" t="inlineStr">
        <is>
          <t>3 ngày</t>
        </is>
      </c>
      <c r="G78" s="44" t="n">
        <v>46290</v>
      </c>
      <c r="H78" s="44" t="n">
        <v>46292</v>
      </c>
      <c r="I78" s="41" t="n">
        <v>44256</v>
      </c>
      <c r="J78" s="45" t="n">
        <v>0</v>
      </c>
      <c r="K78" s="42" t="inlineStr">
        <is>
          <t>★ Ưu tiên Demo W4 (T2 28/09)</t>
        </is>
      </c>
    </row>
    <row r="79">
      <c r="A79" s="36" t="n">
        <v>36982</v>
      </c>
      <c r="B79" s="37" t="inlineStr">
        <is>
          <t>CH1: Đăng ký, Đăng nhập &amp; Xác minh CHKD</t>
        </is>
      </c>
      <c r="C79" s="37" t="inlineStr">
        <is>
          <t>Phát triển giao diện đăng ký, đăng nhập, form xác thực email và khôi phục mật khẩu</t>
        </is>
      </c>
      <c r="D79" s="38" t="inlineStr">
        <is>
          <t>FO - FE</t>
        </is>
      </c>
      <c r="E79" s="38" t="inlineStr">
        <is>
          <t>Ngân</t>
        </is>
      </c>
      <c r="F79" s="38" t="inlineStr">
        <is>
          <t>3 ngày</t>
        </is>
      </c>
      <c r="G79" s="39" t="n">
        <v>46296</v>
      </c>
      <c r="H79" s="39" t="n">
        <v>46298</v>
      </c>
      <c r="I79" s="36" t="n">
        <v>36951</v>
      </c>
      <c r="J79" s="40" t="n">
        <v>0</v>
      </c>
      <c r="K79" s="37" t="inlineStr">
        <is>
          <t>Giao diện Đăng ký, Đăng nhập, OTP</t>
        </is>
      </c>
    </row>
    <row r="80">
      <c r="A80" s="36" t="n">
        <v>37347</v>
      </c>
      <c r="B80" s="37" t="inlineStr">
        <is>
          <t>CH1: Đăng ký, Đăng nhập &amp; Xác minh CHKD</t>
        </is>
      </c>
      <c r="C80" s="37" t="inlineStr">
        <is>
          <t>Phát triển màn hình quản trị tài khoản NTD và lịch sử đăng nhập</t>
        </is>
      </c>
      <c r="D80" s="38" t="inlineStr">
        <is>
          <t>BO - FE</t>
        </is>
      </c>
      <c r="E80" s="38" t="inlineStr">
        <is>
          <t>Việt</t>
        </is>
      </c>
      <c r="F80" s="38" t="inlineStr">
        <is>
          <t>3 ngày</t>
        </is>
      </c>
      <c r="G80" s="39" t="n">
        <v>46297</v>
      </c>
      <c r="H80" s="39" t="n">
        <v>46299</v>
      </c>
      <c r="I80" s="36" t="n">
        <v>37316</v>
      </c>
      <c r="J80" s="40" t="n">
        <v>0</v>
      </c>
      <c r="K80" s="37" t="inlineStr">
        <is>
          <t>Màn hình Admin quản trị tài khoản NTD</t>
        </is>
      </c>
    </row>
    <row r="81">
      <c r="A81" s="36" t="n">
        <v>37712</v>
      </c>
      <c r="B81" s="37" t="inlineStr">
        <is>
          <t>CH2: Quản lý Hồ sơ Chủ hộ KD</t>
        </is>
      </c>
      <c r="C81" s="37" t="inlineStr">
        <is>
          <t>Phát triển giao diện hồ sơ hộ kinh doanh, form nhập liệu và xem trước hồ sơ</t>
        </is>
      </c>
      <c r="D81" s="38" t="inlineStr">
        <is>
          <t>FO - FE</t>
        </is>
      </c>
      <c r="E81" s="38" t="inlineStr">
        <is>
          <t>Ngân</t>
        </is>
      </c>
      <c r="F81" s="38" t="inlineStr">
        <is>
          <t>3 ngày</t>
        </is>
      </c>
      <c r="G81" s="39" t="n">
        <v>46298</v>
      </c>
      <c r="H81" s="39" t="n">
        <v>46300</v>
      </c>
      <c r="I81" s="36" t="n">
        <v>37681</v>
      </c>
      <c r="J81" s="40" t="n">
        <v>0</v>
      </c>
      <c r="K81" s="37" t="inlineStr">
        <is>
          <t>Điều kiện cần để tuyển dụng</t>
        </is>
      </c>
    </row>
    <row r="82">
      <c r="A82" s="36" t="n">
        <v>38078</v>
      </c>
      <c r="B82" s="37" t="inlineStr">
        <is>
          <t>CH2: Quản lý Hồ sơ Chủ hộ KD</t>
        </is>
      </c>
      <c r="C82" s="37" t="inlineStr">
        <is>
          <t>Phát triển màn hình kiểm duyệt và xác minh thông tin hộ kinh doanh cho Admin</t>
        </is>
      </c>
      <c r="D82" s="38" t="inlineStr">
        <is>
          <t>BO - FE</t>
        </is>
      </c>
      <c r="E82" s="38" t="inlineStr">
        <is>
          <t>Việt</t>
        </is>
      </c>
      <c r="F82" s="38" t="inlineStr">
        <is>
          <t>3 ngày</t>
        </is>
      </c>
      <c r="G82" s="39" t="n">
        <v>46299</v>
      </c>
      <c r="H82" s="39" t="n">
        <v>46301</v>
      </c>
      <c r="I82" s="36" t="n">
        <v>38047</v>
      </c>
      <c r="J82" s="40" t="n">
        <v>0</v>
      </c>
      <c r="K82" s="37" t="inlineStr">
        <is>
          <t>Màn hình Admin kiểm duyệt cơ sở KD</t>
        </is>
      </c>
    </row>
    <row r="83">
      <c r="A83" s="36" t="n">
        <v>38443</v>
      </c>
      <c r="B83" s="37" t="inlineStr">
        <is>
          <t>CH14: Trang tổng quan Mobile / Web</t>
        </is>
      </c>
      <c r="C83" s="37" t="inlineStr">
        <is>
          <t>Phát triển giao diện Dashboard NTD, tích hợp biểu đồ trực quan và widget lối tắt</t>
        </is>
      </c>
      <c r="D83" s="38" t="inlineStr">
        <is>
          <t>FO - FE</t>
        </is>
      </c>
      <c r="E83" s="38" t="inlineStr">
        <is>
          <t>Kiên</t>
        </is>
      </c>
      <c r="F83" s="38" t="inlineStr">
        <is>
          <t>3 ngày</t>
        </is>
      </c>
      <c r="G83" s="39" t="n">
        <v>46300</v>
      </c>
      <c r="H83" s="39" t="n">
        <v>46302</v>
      </c>
      <c r="I83" s="36" t="n">
        <v>38412</v>
      </c>
      <c r="J83" s="40" t="n">
        <v>0</v>
      </c>
      <c r="K83" s="37" t="inlineStr">
        <is>
          <t>Dashboard NTD: biểu đồ &amp; widget lối tắt</t>
        </is>
      </c>
    </row>
    <row r="84">
      <c r="A84" s="36" t="n">
        <v>38808</v>
      </c>
      <c r="B84" s="37" t="inlineStr">
        <is>
          <t>CH3: Đăng tin tuyển dụng (Thủ công)</t>
        </is>
      </c>
      <c r="C84" s="37" t="inlineStr">
        <is>
          <t>Phát triển giao diện form tạo tin nhanh Kênh NTD và xử lý validation cơ bản</t>
        </is>
      </c>
      <c r="D84" s="38" t="inlineStr">
        <is>
          <t>FO - FE</t>
        </is>
      </c>
      <c r="E84" s="38" t="inlineStr">
        <is>
          <t>Kiên</t>
        </is>
      </c>
      <c r="F84" s="38" t="inlineStr">
        <is>
          <t>3 ngày</t>
        </is>
      </c>
      <c r="G84" s="39" t="n">
        <v>46301</v>
      </c>
      <c r="H84" s="39" t="n">
        <v>46303</v>
      </c>
      <c r="I84" s="36" t="n">
        <v>38777</v>
      </c>
      <c r="J84" s="40" t="n">
        <v>0</v>
      </c>
      <c r="K84" s="37" t="inlineStr">
        <is>
          <t>Giao diện form tạo tin nhanh Kênh NTD</t>
        </is>
      </c>
    </row>
    <row r="85">
      <c r="A85" s="36" t="n">
        <v>39173</v>
      </c>
      <c r="B85" s="37" t="inlineStr">
        <is>
          <t>CH3: Đăng tin tuyển dụng (AI)</t>
        </is>
      </c>
      <c r="C85" s="37" t="inlineStr">
        <is>
          <t>Phát triển giao diện tương tác Chatbot AI sinh tin tuyển dụng và form xác nhận</t>
        </is>
      </c>
      <c r="D85" s="38" t="inlineStr">
        <is>
          <t>FO - FE</t>
        </is>
      </c>
      <c r="E85" s="38" t="inlineStr">
        <is>
          <t>Kiên</t>
        </is>
      </c>
      <c r="F85" s="38" t="inlineStr">
        <is>
          <t>4 ngày</t>
        </is>
      </c>
      <c r="G85" s="39" t="n">
        <v>46303</v>
      </c>
      <c r="H85" s="39" t="n">
        <v>46306</v>
      </c>
      <c r="I85" s="36" t="n">
        <v>39142</v>
      </c>
      <c r="J85" s="40" t="n">
        <v>0</v>
      </c>
      <c r="K85" s="37" t="inlineStr">
        <is>
          <t>Khung chat Chatbot AI sinh tin tuyển dụng</t>
        </is>
      </c>
    </row>
    <row r="86">
      <c r="A86" s="36" t="n">
        <v>39539</v>
      </c>
      <c r="B86" s="37" t="inlineStr">
        <is>
          <t>CH3: Đăng tin tuyển dụng (Hoàn thiện)</t>
        </is>
      </c>
      <c r="C86" s="37" t="inlineStr">
        <is>
          <t>Phát triển giao diện form chỉnh sửa hoàn thiện tin, tích hợp Google Maps API</t>
        </is>
      </c>
      <c r="D86" s="38" t="inlineStr">
        <is>
          <t>FO - FE</t>
        </is>
      </c>
      <c r="E86" s="38" t="inlineStr">
        <is>
          <t>Quang</t>
        </is>
      </c>
      <c r="F86" s="38" t="inlineStr">
        <is>
          <t>3 ngày</t>
        </is>
      </c>
      <c r="G86" s="39" t="n">
        <v>46304</v>
      </c>
      <c r="H86" s="39" t="n">
        <v>46306</v>
      </c>
      <c r="I86" s="36" t="n">
        <v>39508</v>
      </c>
      <c r="J86" s="40" t="n">
        <v>0</v>
      </c>
      <c r="K86" s="37" t="inlineStr">
        <is>
          <t>Giao diện sửa tin &amp; Google Maps API</t>
        </is>
      </c>
    </row>
    <row r="87">
      <c r="A87" s="36" t="n">
        <v>39904</v>
      </c>
      <c r="B87" s="37" t="inlineStr">
        <is>
          <t>CH4: Quản lý danh sách tin &amp; Gia hạn (Vòng đời)</t>
        </is>
      </c>
      <c r="C87" s="37" t="inlineStr">
        <is>
          <t>Phát triển giao diện quản lý danh sách tin tuyển dụng và bộ lọc trạng thái Kênh NTD</t>
        </is>
      </c>
      <c r="D87" s="38" t="inlineStr">
        <is>
          <t>FO - FE</t>
        </is>
      </c>
      <c r="E87" s="38" t="inlineStr">
        <is>
          <t>Ngân</t>
        </is>
      </c>
      <c r="F87" s="38" t="inlineStr">
        <is>
          <t>3 ngày</t>
        </is>
      </c>
      <c r="G87" s="39" t="n">
        <v>46306</v>
      </c>
      <c r="H87" s="39" t="n">
        <v>46308</v>
      </c>
      <c r="I87" s="36" t="n">
        <v>39873</v>
      </c>
      <c r="J87" s="40" t="n">
        <v>0</v>
      </c>
      <c r="K87" s="37" t="inlineStr">
        <is>
          <t>Quản lý danh sách tin &amp; Bộ lọc trạng thái</t>
        </is>
      </c>
    </row>
    <row r="88" ht="33" customHeight="1" s="80">
      <c r="A88" s="36" t="n">
        <v>40269</v>
      </c>
      <c r="B88" s="37" t="inlineStr">
        <is>
          <t>CH4: Quản lý danh sách tin &amp; Gia hạn (Vòng đời)</t>
        </is>
      </c>
      <c r="C88" s="37" t="inlineStr">
        <is>
          <t>Phát triển màn hình kiểm duyệt và quản lý toàn bộ tin tuyển dụng trên hệ thống cho Admin</t>
        </is>
      </c>
      <c r="D88" s="38" t="inlineStr">
        <is>
          <t>BO - FE</t>
        </is>
      </c>
      <c r="E88" s="38" t="inlineStr">
        <is>
          <t>Việt</t>
        </is>
      </c>
      <c r="F88" s="38" t="inlineStr">
        <is>
          <t>3 ngày</t>
        </is>
      </c>
      <c r="G88" s="39" t="n">
        <v>46307</v>
      </c>
      <c r="H88" s="39" t="n">
        <v>46309</v>
      </c>
      <c r="I88" s="36" t="n">
        <v>40238</v>
      </c>
      <c r="J88" s="40" t="n">
        <v>0</v>
      </c>
      <c r="K88" s="37" t="inlineStr">
        <is>
          <t>Màn hình Admin kiểm duyệt tin sàn</t>
        </is>
      </c>
    </row>
    <row r="89">
      <c r="A89" s="36" t="n">
        <v>40634</v>
      </c>
      <c r="B89" s="37" t="inlineStr">
        <is>
          <t>CH4: Quản lý danh sách tin &amp; Gia hạn (Ghim tin)</t>
        </is>
      </c>
      <c r="C89" s="37" t="inlineStr">
        <is>
          <t>Phát triển giao diện chọn lịch ghim tin và hiển thị trạng thái ghim trên Kênh NTD</t>
        </is>
      </c>
      <c r="D89" s="38" t="inlineStr">
        <is>
          <t>FO - FE</t>
        </is>
      </c>
      <c r="E89" s="38" t="inlineStr">
        <is>
          <t>Ngân</t>
        </is>
      </c>
      <c r="F89" s="38" t="inlineStr">
        <is>
          <t>2 ngày</t>
        </is>
      </c>
      <c r="G89" s="39" t="n">
        <v>46309</v>
      </c>
      <c r="H89" s="39" t="n">
        <v>46310</v>
      </c>
      <c r="I89" s="36" t="n">
        <v>40603</v>
      </c>
      <c r="J89" s="40" t="n">
        <v>0</v>
      </c>
      <c r="K89" s="37" t="inlineStr">
        <is>
          <t>Giao diện chọn lịch ghim tin NTD</t>
        </is>
      </c>
    </row>
    <row r="90">
      <c r="A90" s="36" t="n">
        <v>41000</v>
      </c>
      <c r="B90" s="37" t="inlineStr">
        <is>
          <t>CH4: Quản lý danh sách tin &amp; Gia hạn (Ghim tin)</t>
        </is>
      </c>
      <c r="C90" s="37" t="inlineStr">
        <is>
          <t>Phát triển màn hình Admin theo dõi và điều chỉnh danh sách tin ghim toàn sàn</t>
        </is>
      </c>
      <c r="D90" s="38" t="inlineStr">
        <is>
          <t>BO - FE</t>
        </is>
      </c>
      <c r="E90" s="38" t="inlineStr">
        <is>
          <t>Việt</t>
        </is>
      </c>
      <c r="F90" s="38" t="inlineStr">
        <is>
          <t>2 ngày</t>
        </is>
      </c>
      <c r="G90" s="39" t="n">
        <v>46309</v>
      </c>
      <c r="H90" s="39" t="n">
        <v>46310</v>
      </c>
      <c r="I90" s="36" t="n">
        <v>40969</v>
      </c>
      <c r="J90" s="40" t="n">
        <v>0</v>
      </c>
      <c r="K90" s="37" t="inlineStr">
        <is>
          <t>Màn hình Admin theo dõi danh sách ghim</t>
        </is>
      </c>
    </row>
    <row r="91">
      <c r="A91" s="36" t="n">
        <v>41365</v>
      </c>
      <c r="B91" s="37" t="inlineStr">
        <is>
          <t>CH5: Tìm kiếm Ứng viên</t>
        </is>
      </c>
      <c r="C91" s="37" t="inlineStr">
        <is>
          <t>Phát triển giao diện danh sách ứng viên gợi ý kèm bộ lọc nâng cao trên Kênh NTD</t>
        </is>
      </c>
      <c r="D91" s="38" t="inlineStr">
        <is>
          <t>FO - FE</t>
        </is>
      </c>
      <c r="E91" s="38" t="inlineStr">
        <is>
          <t>Kiên</t>
        </is>
      </c>
      <c r="F91" s="38" t="inlineStr">
        <is>
          <t>3 ngày</t>
        </is>
      </c>
      <c r="G91" s="39" t="n">
        <v>46311</v>
      </c>
      <c r="H91" s="39" t="n">
        <v>46313</v>
      </c>
      <c r="I91" s="36" t="n">
        <v>41334</v>
      </c>
      <c r="J91" s="40" t="n">
        <v>0</v>
      </c>
      <c r="K91" s="37" t="inlineStr">
        <is>
          <t>Danh sách ứng viên gợi ý &amp; Bộ lọc NTD</t>
        </is>
      </c>
    </row>
    <row r="92">
      <c r="A92" s="36" t="n">
        <v>41730</v>
      </c>
      <c r="B92" s="37" t="inlineStr">
        <is>
          <t>CH6: Mời Ứng viên ứng tuyển</t>
        </is>
      </c>
      <c r="C92" s="37" t="inlineStr">
        <is>
          <t>Phát triển giao diện popup gửi lời mời ứng tuyển trên danh sách ứng viên</t>
        </is>
      </c>
      <c r="D92" s="38" t="inlineStr">
        <is>
          <t>FO - FE</t>
        </is>
      </c>
      <c r="E92" s="38" t="inlineStr">
        <is>
          <t>Kiên</t>
        </is>
      </c>
      <c r="F92" s="38" t="inlineStr">
        <is>
          <t>2 ngày</t>
        </is>
      </c>
      <c r="G92" s="39" t="n">
        <v>46313</v>
      </c>
      <c r="H92" s="39" t="n">
        <v>46314</v>
      </c>
      <c r="I92" s="36" t="n">
        <v>41699</v>
      </c>
      <c r="J92" s="40" t="n">
        <v>0</v>
      </c>
      <c r="K92" s="37" t="inlineStr">
        <is>
          <t>Popup gửi lời mời ứng tuyển NTD</t>
        </is>
      </c>
    </row>
    <row r="93">
      <c r="A93" s="36" t="n">
        <v>42095</v>
      </c>
      <c r="B93" s="37" t="inlineStr">
        <is>
          <t>CH7: Quản lý đơn ứng tuyển</t>
        </is>
      </c>
      <c r="C93" s="37" t="inlineStr">
        <is>
          <t>Phát triển giao diện Pipeline kéo thả (Kanban) và màn hình hồ sơ ứng viên chi tiết</t>
        </is>
      </c>
      <c r="D93" s="38" t="inlineStr">
        <is>
          <t>FO - FE</t>
        </is>
      </c>
      <c r="E93" s="38" t="inlineStr">
        <is>
          <t>Quang</t>
        </is>
      </c>
      <c r="F93" s="38" t="inlineStr">
        <is>
          <t>4 ngày</t>
        </is>
      </c>
      <c r="G93" s="39" t="n">
        <v>46314</v>
      </c>
      <c r="H93" s="39" t="n">
        <v>46317</v>
      </c>
      <c r="I93" s="36" t="n">
        <v>42064</v>
      </c>
      <c r="J93" s="40" t="n">
        <v>0</v>
      </c>
      <c r="K93" s="37" t="inlineStr">
        <is>
          <t>Giao diện Pipeline Kanban kéo thả NTD</t>
        </is>
      </c>
    </row>
    <row r="94">
      <c r="A94" s="36" t="n">
        <v>42461</v>
      </c>
      <c r="B94" s="37" t="inlineStr">
        <is>
          <t>CH7: Quản lý đơn ứng tuyển (Đánh giá)</t>
        </is>
      </c>
      <c r="C94" s="37" t="inlineStr">
        <is>
          <t>Phát triển giao diện hiển thị đánh giá gợi ý và khung nhập ghi chú nội bộ</t>
        </is>
      </c>
      <c r="D94" s="38" t="inlineStr">
        <is>
          <t>FO - FE</t>
        </is>
      </c>
      <c r="E94" s="38" t="inlineStr">
        <is>
          <t>Kiên</t>
        </is>
      </c>
      <c r="F94" s="38" t="inlineStr">
        <is>
          <t>3 ngày</t>
        </is>
      </c>
      <c r="G94" s="39" t="n">
        <v>46316</v>
      </c>
      <c r="H94" s="39" t="n">
        <v>46318</v>
      </c>
      <c r="I94" s="36" t="n">
        <v>42430</v>
      </c>
      <c r="J94" s="40" t="n">
        <v>0</v>
      </c>
      <c r="K94" s="37" t="inlineStr">
        <is>
          <t>Giao diện đánh giá &amp; Ghi chú nội bộ</t>
        </is>
      </c>
    </row>
    <row r="95">
      <c r="A95" s="36" t="n">
        <v>42826</v>
      </c>
      <c r="B95" s="37" t="inlineStr">
        <is>
          <t>CH8: Đặt lịch &amp; Quản lý Phỏng vấn</t>
        </is>
      </c>
      <c r="C95" s="37" t="inlineStr">
        <is>
          <t>Phát triển giao diện quản lý lịch phỏng vấn, cập nhật trạng thái buổi phỏng vấn trên Kênh NTD</t>
        </is>
      </c>
      <c r="D95" s="38" t="inlineStr">
        <is>
          <t>FO - FE</t>
        </is>
      </c>
      <c r="E95" s="38" t="inlineStr">
        <is>
          <t>Quang</t>
        </is>
      </c>
      <c r="F95" s="38" t="inlineStr">
        <is>
          <t>3 ngày</t>
        </is>
      </c>
      <c r="G95" s="39" t="n">
        <v>46318</v>
      </c>
      <c r="H95" s="39" t="n">
        <v>46320</v>
      </c>
      <c r="I95" s="36" t="n">
        <v>42795</v>
      </c>
      <c r="J95" s="40" t="n">
        <v>0</v>
      </c>
      <c r="K95" s="37" t="inlineStr">
        <is>
          <t>Tính năng trọng tâm - Quản lý lịch phỏng vấn</t>
        </is>
      </c>
    </row>
    <row r="96">
      <c r="A96" s="36" t="n">
        <v>44652</v>
      </c>
      <c r="B96" s="37" t="inlineStr">
        <is>
          <t>CH15: Thông báo</t>
        </is>
      </c>
      <c r="C96" s="37" t="inlineStr">
        <is>
          <t>Phát triển giao diện Notification Center và bộ lọc thông báo trên Kênh NTD</t>
        </is>
      </c>
      <c r="D96" s="38" t="inlineStr">
        <is>
          <t>FO - FE</t>
        </is>
      </c>
      <c r="E96" s="38" t="inlineStr">
        <is>
          <t>Kiên</t>
        </is>
      </c>
      <c r="F96" s="38" t="inlineStr">
        <is>
          <t>3 ngày</t>
        </is>
      </c>
      <c r="G96" s="39" t="n">
        <v>46321</v>
      </c>
      <c r="H96" s="39" t="n">
        <v>46323</v>
      </c>
      <c r="I96" s="36" t="n">
        <v>44621</v>
      </c>
      <c r="J96" s="40" t="n">
        <v>0</v>
      </c>
      <c r="K96" s="37" t="inlineStr">
        <is>
          <t>Notification Center &amp; Bộ lọc thông báo</t>
        </is>
      </c>
    </row>
    <row r="97">
      <c r="A97" s="62" t="n"/>
      <c r="B97" s="66" t="n"/>
      <c r="C97" s="66" t="n"/>
      <c r="D97" s="62" t="n"/>
      <c r="E97" s="62" t="n"/>
      <c r="F97" s="62" t="n"/>
      <c r="G97" s="63" t="n"/>
      <c r="H97" s="63" t="n"/>
      <c r="I97" s="58" t="n"/>
      <c r="J97" s="65" t="n"/>
      <c r="K97" s="66" t="n"/>
    </row>
    <row r="98">
      <c r="A98" s="62" t="n"/>
      <c r="B98" s="66" t="n"/>
      <c r="C98" s="66" t="n"/>
      <c r="D98" s="62" t="n"/>
      <c r="E98" s="62" t="n"/>
      <c r="F98" s="62" t="n"/>
      <c r="G98" s="63" t="n"/>
      <c r="H98" s="63" t="n"/>
      <c r="I98" s="58" t="n"/>
      <c r="J98" s="65" t="n"/>
      <c r="K98" s="66" t="n"/>
    </row>
    <row r="99">
      <c r="A99" s="62" t="n"/>
      <c r="B99" s="66" t="n"/>
      <c r="C99" s="66" t="n"/>
      <c r="D99" s="62" t="n"/>
      <c r="E99" s="62" t="n"/>
      <c r="F99" s="62" t="n"/>
      <c r="G99" s="63" t="n"/>
      <c r="H99" s="63" t="n"/>
      <c r="I99" s="58" t="n"/>
      <c r="J99" s="65" t="n"/>
      <c r="K99" s="66" t="n"/>
    </row>
  </sheetData>
  <mergeCells count="11">
    <mergeCell ref="A2:B2"/>
    <mergeCell ref="I2:K2"/>
    <mergeCell ref="C2:D2"/>
    <mergeCell ref="G2:H2"/>
    <mergeCell ref="E2:F2"/>
    <mergeCell ref="A1:K1"/>
    <mergeCell ref="I3:K3"/>
    <mergeCell ref="C3:D3"/>
    <mergeCell ref="A3:B3"/>
    <mergeCell ref="G3:H3"/>
    <mergeCell ref="E3:F3"/>
  </mergeCells>
  <conditionalFormatting sqref="A5:J99">
    <cfRule type="cellIs" priority="1" operator="equal" dxfId="5" stopIfTrue="1">
      <formula>"Nhóm tính năng"</formula>
    </cfRule>
  </conditionalFormatting>
  <conditionalFormatting sqref="D5:D99">
    <cfRule type="cellIs" priority="2" operator="equal" dxfId="6" stopIfTrue="1">
      <formula>"BA"</formula>
    </cfRule>
    <cfRule type="cellIs" priority="3" operator="equal" dxfId="7" stopIfTrue="1">
      <formula>"UI/UX"</formula>
    </cfRule>
    <cfRule type="containsText" priority="4" operator="containsText" dxfId="8" stopIfTrue="1" text="FO">
      <formula>NOT(ISERROR(SEARCH(("FO"),(D5))))</formula>
    </cfRule>
    <cfRule type="containsText" priority="5" operator="containsText" dxfId="9" stopIfTrue="1" text="BO">
      <formula>NOT(ISERROR(SEARCH(("BO"),(D5))))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O8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9.5" customWidth="1" style="80" min="1" max="1"/>
    <col width="38.88" customWidth="1" style="80" min="2" max="2"/>
    <col width="60.88" customWidth="1" style="80" min="3" max="3"/>
    <col width="12.63" customWidth="1" style="80" min="4" max="4"/>
    <col width="21.13" customWidth="1" style="80" min="5" max="5"/>
    <col width="12" customWidth="1" style="80" min="6" max="6"/>
    <col width="13.25" customWidth="1" style="80" min="7" max="8"/>
    <col width="12" customWidth="1" style="80" min="9" max="10"/>
    <col width="41" customWidth="1" style="80" min="11" max="11"/>
    <col width="3.88" customWidth="1" style="80" min="12" max="12"/>
    <col width="16.38" customWidth="1" style="80" min="13" max="14"/>
    <col width="13.88" customWidth="1" style="80" min="15" max="15"/>
  </cols>
  <sheetData>
    <row r="1" ht="30" customHeight="1" s="80">
      <c r="A1" s="1" t="inlineStr">
        <is>
          <t>KẾ HOẠCH BÓC TÁCH WBS VÀ PHÂN BỔ CÔNG VIỆC - PHÂN HỆ HỌC SINH - SINH VIÊN</t>
        </is>
      </c>
    </row>
    <row r="2" ht="18" customHeight="1" s="80">
      <c r="A2" s="81" t="inlineStr">
        <is>
          <t>TỔNG SỐ ĐẦU VIỆC WBS</t>
        </is>
      </c>
      <c r="B2" s="82" t="n"/>
      <c r="C2" s="81" t="inlineStr">
        <is>
          <t>NHÓM TÍNH NĂNG CHÍNH</t>
        </is>
      </c>
      <c r="D2" s="82" t="n"/>
      <c r="E2" s="83" t="inlineStr">
        <is>
          <t>TÁC VỤ BA &amp; UI/UX</t>
        </is>
      </c>
      <c r="F2" s="82" t="n"/>
      <c r="G2" s="83" t="inlineStr">
        <is>
          <t>TÁC VỤ DEV (BE &amp; FE)</t>
        </is>
      </c>
      <c r="H2" s="82" t="n"/>
      <c r="I2" s="83" t="inlineStr">
        <is>
          <t>TIẾN ĐỘ TRUNG BÌNH</t>
        </is>
      </c>
      <c r="J2" s="84" t="n"/>
      <c r="K2" s="82" t="n"/>
    </row>
    <row r="3" ht="24" customHeight="1" s="80">
      <c r="A3" s="85" t="n">
        <v>60</v>
      </c>
      <c r="B3" s="86" t="n"/>
      <c r="C3" s="85" t="n">
        <v>15</v>
      </c>
      <c r="D3" s="86" t="n"/>
      <c r="E3" s="87" t="n">
        <v>30</v>
      </c>
      <c r="F3" s="86" t="n"/>
      <c r="G3" s="87" t="n">
        <v>30</v>
      </c>
      <c r="H3" s="86" t="n"/>
      <c r="I3" s="88">
        <f>J5</f>
        <v/>
      </c>
      <c r="J3" s="89" t="n"/>
      <c r="K3" s="86" t="n"/>
    </row>
    <row r="4" ht="27" customHeight="1" s="80">
      <c r="A4" s="15" t="inlineStr">
        <is>
          <t>WBS</t>
        </is>
      </c>
      <c r="B4" s="16" t="inlineStr">
        <is>
          <t>Phân hệ / Nhóm tính năng</t>
        </is>
      </c>
      <c r="C4" s="16" t="inlineStr">
        <is>
          <t>Đầu việc &amp; Hạng mục chi tiết</t>
        </is>
      </c>
      <c r="D4" s="16" t="inlineStr">
        <is>
          <t>Phân loại công việc (Role)</t>
        </is>
      </c>
      <c r="E4" s="16" t="inlineStr">
        <is>
          <t>Phụ trách (Resource)</t>
        </is>
      </c>
      <c r="F4" s="16" t="inlineStr">
        <is>
          <t>Thời lượng (Duration)</t>
        </is>
      </c>
      <c r="G4" s="16" t="inlineStr">
        <is>
          <t>Bắt đầu (Start)</t>
        </is>
      </c>
      <c r="H4" s="16" t="inlineStr">
        <is>
          <t>Kết thúc (Finish)</t>
        </is>
      </c>
      <c r="I4" s="16" t="inlineStr">
        <is>
          <t>Phụ thuộc (Predecessor)</t>
        </is>
      </c>
      <c r="J4" s="18" t="inlineStr">
        <is>
          <t>Tiến độ (% Complete)</t>
        </is>
      </c>
      <c r="K4" s="19" t="inlineStr">
        <is>
          <t>Ghi chú</t>
        </is>
      </c>
      <c r="M4" s="20" t="n"/>
      <c r="N4" s="20" t="n"/>
      <c r="O4" s="20" t="n"/>
    </row>
    <row r="5">
      <c r="A5" s="22" t="n">
        <v>2</v>
      </c>
      <c r="B5" s="23" t="inlineStr">
        <is>
          <t>PHÂN HỆ HỌC SINH - SINH VIÊN (ỨNG VIÊN)</t>
        </is>
      </c>
      <c r="C5" s="23" t="inlineStr">
        <is>
          <t>Toàn bộ tính năng tìm việc, quản lý hồ sơ và ứng tuyển cho Học sinh - Sinh viên</t>
        </is>
      </c>
      <c r="D5" s="22" t="n"/>
      <c r="E5" s="22" t="n"/>
      <c r="F5" s="22" t="inlineStr">
        <is>
          <t>55 ngày</t>
        </is>
      </c>
      <c r="G5" s="24" t="n">
        <v>46279</v>
      </c>
      <c r="H5" s="24" t="n">
        <v>46333</v>
      </c>
      <c r="I5" s="22" t="inlineStr">
        <is>
          <t>-</t>
        </is>
      </c>
      <c r="J5" s="27">
        <f>(J6+J25+J44+J63)/4</f>
        <v/>
      </c>
      <c r="K5" s="23" t="inlineStr">
        <is>
          <t>15 nhóm tính năng SV (theo SRS)</t>
        </is>
      </c>
      <c r="M5" s="70" t="n"/>
      <c r="N5" s="29" t="n"/>
      <c r="O5" s="30" t="n"/>
    </row>
    <row r="6">
      <c r="A6" s="31" t="n">
        <v>46024</v>
      </c>
      <c r="B6" s="32" t="inlineStr">
        <is>
          <t>GIAI ĐOẠN 1 (W2-W5): PHÂN TÍCH NGHIỆP VỤ &amp; TÀI LIỆU SRS (BA - CHECKPOINT 1)</t>
        </is>
      </c>
      <c r="C6" s="32" t="inlineStr">
        <is>
          <t>Hoàn thiện SRS quy trình tìm việc, ma trận tính năng ứng viên phục vụ Checkpoint 1 (W5)</t>
        </is>
      </c>
      <c r="D6" s="33" t="n"/>
      <c r="E6" s="33" t="n"/>
      <c r="F6" s="33" t="inlineStr">
        <is>
          <t>21 ngày</t>
        </is>
      </c>
      <c r="G6" s="34" t="n">
        <v>46279</v>
      </c>
      <c r="H6" s="34" t="n">
        <v>46299</v>
      </c>
      <c r="I6" s="33" t="inlineStr">
        <is>
          <t>-</t>
        </is>
      </c>
      <c r="J6" s="35">
        <f>AVERAGE(J7:J21)</f>
        <v/>
      </c>
      <c r="K6" s="32" t="inlineStr">
        <is>
          <t>15 đầu việc BA - Đạt mốc Checkpoint 1 (W5)</t>
        </is>
      </c>
      <c r="M6" s="70" t="n"/>
      <c r="N6" s="29" t="n"/>
      <c r="O6" s="30" t="n"/>
    </row>
    <row r="7">
      <c r="A7" s="36" t="n">
        <v>36893</v>
      </c>
      <c r="B7" s="37" t="inlineStr">
        <is>
          <t>SV1: Đăng ký, Đăng nhập &amp; Bảo mật tài khoản</t>
        </is>
      </c>
      <c r="C7" s="37" t="inlineStr">
        <is>
          <t>Phân tích yêu cầu và viết SRS xác thực tài khoản ứng viên HS/SV</t>
        </is>
      </c>
      <c r="D7" s="38" t="inlineStr">
        <is>
          <t>BA</t>
        </is>
      </c>
      <c r="E7" s="38" t="inlineStr">
        <is>
          <t>Việt</t>
        </is>
      </c>
      <c r="F7" s="38" t="inlineStr">
        <is>
          <t>3 ngày</t>
        </is>
      </c>
      <c r="G7" s="39" t="n">
        <v>46279</v>
      </c>
      <c r="H7" s="39" t="n">
        <v>46281</v>
      </c>
      <c r="I7" s="38" t="inlineStr">
        <is>
          <t>-</t>
        </is>
      </c>
      <c r="J7" s="40" t="n">
        <v>0</v>
      </c>
      <c r="K7" s="37" t="inlineStr">
        <is>
          <t>SRS xác thực tài khoản ứng viên HS/SV</t>
        </is>
      </c>
      <c r="M7" s="70" t="n"/>
      <c r="N7" s="29" t="n"/>
      <c r="O7" s="30" t="n"/>
    </row>
    <row r="8">
      <c r="A8" s="36" t="n">
        <v>37258</v>
      </c>
      <c r="B8" s="37" t="inlineStr">
        <is>
          <t>SV2: Quản lý Hồ sơ tìm việc</t>
        </is>
      </c>
      <c r="C8" s="37" t="inlineStr">
        <is>
          <t>Viết SRS quản lý hồ sơ ứng viên (khung giờ rảnh, kinh nghiệm, kỹ năng part-time)</t>
        </is>
      </c>
      <c r="D8" s="38" t="inlineStr">
        <is>
          <t>BA</t>
        </is>
      </c>
      <c r="E8" s="38" t="inlineStr">
        <is>
          <t>Việt</t>
        </is>
      </c>
      <c r="F8" s="38" t="inlineStr">
        <is>
          <t>3 ngày</t>
        </is>
      </c>
      <c r="G8" s="39" t="n">
        <v>46280</v>
      </c>
      <c r="H8" s="39" t="n">
        <v>46282</v>
      </c>
      <c r="I8" s="36" t="n">
        <v>36893</v>
      </c>
      <c r="J8" s="40" t="n">
        <v>0</v>
      </c>
      <c r="K8" s="37" t="inlineStr">
        <is>
          <t>SRS hồ sơ ứng viên &amp; ca rảnh part-time</t>
        </is>
      </c>
      <c r="M8" s="70" t="n"/>
      <c r="N8" s="29" t="n"/>
      <c r="O8" s="30" t="n"/>
    </row>
    <row r="9">
      <c r="A9" s="41" t="n">
        <v>41641</v>
      </c>
      <c r="B9" s="42" t="inlineStr">
        <is>
          <t>SV14: Trang tổng quan tìm việc (Dashboard)</t>
        </is>
      </c>
      <c r="C9" s="42" t="inlineStr">
        <is>
          <t>Xác định các chỉ số thống kê tìm việc cho sinh viên và viết SRS Dashboard HS/SV</t>
        </is>
      </c>
      <c r="D9" s="43" t="inlineStr">
        <is>
          <t>BA</t>
        </is>
      </c>
      <c r="E9" s="43" t="inlineStr">
        <is>
          <t>Việt</t>
        </is>
      </c>
      <c r="F9" s="43" t="inlineStr">
        <is>
          <t>4 ngày</t>
        </is>
      </c>
      <c r="G9" s="44" t="n">
        <v>46280</v>
      </c>
      <c r="H9" s="44" t="n">
        <v>46283</v>
      </c>
      <c r="I9" s="41" t="n">
        <v>36893</v>
      </c>
      <c r="J9" s="45" t="n">
        <v>0</v>
      </c>
      <c r="K9" s="42" t="inlineStr">
        <is>
          <t>Ưu tiên Demo W4 (T2 28/09)</t>
        </is>
      </c>
      <c r="M9" s="70" t="n"/>
      <c r="N9" s="29" t="n"/>
      <c r="O9" s="30" t="n"/>
    </row>
    <row r="10">
      <c r="A10" s="41" t="n">
        <v>42006</v>
      </c>
      <c r="B10" s="42" t="inlineStr">
        <is>
          <t>SV15: Thông báo (Notification Center)</t>
        </is>
      </c>
      <c r="C10" s="42" t="inlineStr">
        <is>
          <t>Viết SRS ma trận sự kiện thông báo gửi đến ứng viên (push notification, email)</t>
        </is>
      </c>
      <c r="D10" s="43" t="inlineStr">
        <is>
          <t>BA</t>
        </is>
      </c>
      <c r="E10" s="43" t="inlineStr">
        <is>
          <t>Việt</t>
        </is>
      </c>
      <c r="F10" s="43" t="inlineStr">
        <is>
          <t>4 ngày</t>
        </is>
      </c>
      <c r="G10" s="44" t="n">
        <v>46280</v>
      </c>
      <c r="H10" s="44" t="n">
        <v>46283</v>
      </c>
      <c r="I10" s="46" t="n">
        <v>36893</v>
      </c>
      <c r="J10" s="45" t="n">
        <v>0</v>
      </c>
      <c r="K10" s="42" t="inlineStr">
        <is>
          <t>Ưu tiên Demo W4 (T2 28/09)</t>
        </is>
      </c>
      <c r="M10" s="47" t="n"/>
      <c r="N10" s="48" t="n"/>
      <c r="O10" s="49" t="n"/>
    </row>
    <row r="11">
      <c r="A11" s="36" t="n">
        <v>37623</v>
      </c>
      <c r="B11" s="37" t="inlineStr">
        <is>
          <t>SV3: Thiết lập quyền riêng tư liên hệ</t>
        </is>
      </c>
      <c r="C11" s="37" t="inlineStr">
        <is>
          <t>Viết SRS ma trận quyền xem thông tin liên hệ (SĐT, Email, Mạng xã hội)</t>
        </is>
      </c>
      <c r="D11" s="38" t="inlineStr">
        <is>
          <t>BA</t>
        </is>
      </c>
      <c r="E11" s="38" t="inlineStr">
        <is>
          <t>Việt</t>
        </is>
      </c>
      <c r="F11" s="38" t="inlineStr">
        <is>
          <t>3 ngày</t>
        </is>
      </c>
      <c r="G11" s="39" t="n">
        <v>46281</v>
      </c>
      <c r="H11" s="39" t="n">
        <v>46283</v>
      </c>
      <c r="I11" s="36" t="n">
        <v>37258</v>
      </c>
      <c r="J11" s="40" t="n">
        <v>0</v>
      </c>
      <c r="K11" s="37" t="inlineStr">
        <is>
          <t>Ma trận quyền xem thông tin liên hệ</t>
        </is>
      </c>
    </row>
    <row r="12">
      <c r="A12" s="36" t="n">
        <v>37988</v>
      </c>
      <c r="B12" s="37" t="inlineStr">
        <is>
          <t>SV4: Khai báo trạng thái sẵn sàng tìm việc</t>
        </is>
      </c>
      <c r="C12" s="37" t="inlineStr">
        <is>
          <t>Viết SRS trạng thái 'Đang tìm việc' (Readiness) và ảnh hưởng đến thuật toán Matching</t>
        </is>
      </c>
      <c r="D12" s="38" t="inlineStr">
        <is>
          <t>BA</t>
        </is>
      </c>
      <c r="E12" s="38" t="inlineStr">
        <is>
          <t>Việt</t>
        </is>
      </c>
      <c r="F12" s="38" t="inlineStr">
        <is>
          <t>2 ngày</t>
        </is>
      </c>
      <c r="G12" s="39" t="n">
        <v>46282</v>
      </c>
      <c r="H12" s="39" t="n">
        <v>46283</v>
      </c>
      <c r="I12" s="36" t="n">
        <v>37258</v>
      </c>
      <c r="J12" s="40" t="n">
        <v>0</v>
      </c>
      <c r="K12" s="37" t="inlineStr">
        <is>
          <t>SRS trạng thái sẵn sàng tìm việc</t>
        </is>
      </c>
    </row>
    <row r="13">
      <c r="A13" s="36" t="n">
        <v>38354</v>
      </c>
      <c r="B13" s="37" t="inlineStr">
        <is>
          <t>SV5: Khám phá &amp; Tìm kiếm việc làm</t>
        </is>
      </c>
      <c r="C13" s="37" t="inlineStr">
        <is>
          <t>Viết SRS bộ lọc tìm kiếm việc làm theo ca linh hoạt, vị trí và mức lương</t>
        </is>
      </c>
      <c r="D13" s="38" t="inlineStr">
        <is>
          <t>BA</t>
        </is>
      </c>
      <c r="E13" s="38" t="inlineStr">
        <is>
          <t>Việt</t>
        </is>
      </c>
      <c r="F13" s="38" t="inlineStr">
        <is>
          <t>3 ngày</t>
        </is>
      </c>
      <c r="G13" s="39" t="n">
        <v>46283</v>
      </c>
      <c r="H13" s="39" t="n">
        <v>46285</v>
      </c>
      <c r="I13" s="36" t="n">
        <v>37258</v>
      </c>
      <c r="J13" s="40" t="n">
        <v>0</v>
      </c>
      <c r="K13" s="37" t="inlineStr">
        <is>
          <t>Bộ lọc tìm kiếm việc làm theo ca linh hoạt</t>
        </is>
      </c>
    </row>
    <row r="14">
      <c r="A14" s="36" t="n">
        <v>38719</v>
      </c>
      <c r="B14" s="37" t="inlineStr">
        <is>
          <t>SV6: Xem việc làm theo vị trí bản đồ</t>
        </is>
      </c>
      <c r="C14" s="37" t="inlineStr">
        <is>
          <t>Viết SRS định vị GPS, tính bán kính khoảng cách từ nơi ở của HS/SV đến nơi làm việc</t>
        </is>
      </c>
      <c r="D14" s="38" t="inlineStr">
        <is>
          <t>BA</t>
        </is>
      </c>
      <c r="E14" s="38" t="inlineStr">
        <is>
          <t>Việt</t>
        </is>
      </c>
      <c r="F14" s="38" t="inlineStr">
        <is>
          <t>3 ngày</t>
        </is>
      </c>
      <c r="G14" s="39" t="n">
        <v>46285</v>
      </c>
      <c r="H14" s="39" t="n">
        <v>46287</v>
      </c>
      <c r="I14" s="36" t="n">
        <v>38354</v>
      </c>
      <c r="J14" s="40" t="n">
        <v>0</v>
      </c>
      <c r="K14" s="37" t="inlineStr">
        <is>
          <t>SRS định vị GPS &amp; Bán kính khoảng cách</t>
        </is>
      </c>
    </row>
    <row r="15">
      <c r="A15" s="36" t="n">
        <v>39084</v>
      </c>
      <c r="B15" s="37" t="inlineStr">
        <is>
          <t>SV7: Nhận gợi ý việc làm phù hợp</t>
        </is>
      </c>
      <c r="C15" s="37" t="inlineStr">
        <is>
          <t>Xây dựng thuật toán Matching tin tuyển dụng với hồ sơ năng lực và lịch rảnh của HS/SV</t>
        </is>
      </c>
      <c r="D15" s="38" t="inlineStr">
        <is>
          <t>BA</t>
        </is>
      </c>
      <c r="E15" s="38" t="inlineStr">
        <is>
          <t>Việt</t>
        </is>
      </c>
      <c r="F15" s="38" t="inlineStr">
        <is>
          <t>3 ngày</t>
        </is>
      </c>
      <c r="G15" s="39" t="n">
        <v>46286</v>
      </c>
      <c r="H15" s="39" t="n">
        <v>46288</v>
      </c>
      <c r="I15" s="36" t="n">
        <v>38354</v>
      </c>
      <c r="J15" s="40" t="n">
        <v>0</v>
      </c>
      <c r="K15" s="37" t="inlineStr">
        <is>
          <t>Matching tin tuyển dụng với lịch rảnh</t>
        </is>
      </c>
    </row>
    <row r="16">
      <c r="A16" s="36" t="n">
        <v>39449</v>
      </c>
      <c r="B16" s="37" t="inlineStr">
        <is>
          <t>SV8: Ứng tuyển công việc</t>
        </is>
      </c>
      <c r="C16" s="37" t="inlineStr">
        <is>
          <t>Viết SRS quy trình nộp đơn, lưu snapshot hồ sơ ứng tuyển và chống spam nộp đơn</t>
        </is>
      </c>
      <c r="D16" s="38" t="inlineStr">
        <is>
          <t>BA</t>
        </is>
      </c>
      <c r="E16" s="38" t="inlineStr">
        <is>
          <t>Việt</t>
        </is>
      </c>
      <c r="F16" s="38" t="inlineStr">
        <is>
          <t>3 ngày</t>
        </is>
      </c>
      <c r="G16" s="39" t="n">
        <v>46287</v>
      </c>
      <c r="H16" s="39" t="n">
        <v>46289</v>
      </c>
      <c r="I16" s="36" t="n">
        <v>38354</v>
      </c>
      <c r="J16" s="40" t="n">
        <v>0</v>
      </c>
      <c r="K16" s="37" t="inlineStr">
        <is>
          <t>Quy trình nộp đơn &amp; Snapshot ứng tuyển</t>
        </is>
      </c>
    </row>
    <row r="17">
      <c r="A17" s="36" t="n">
        <v>39815</v>
      </c>
      <c r="B17" s="37" t="inlineStr">
        <is>
          <t>SV9: Nhận lời mời ứng tuyển</t>
        </is>
      </c>
      <c r="C17" s="37" t="inlineStr">
        <is>
          <t>Viết SRS luồng tiếp nhận lời mời việc, quyền chấp nhận hoặc từ chối lời mời</t>
        </is>
      </c>
      <c r="D17" s="38" t="inlineStr">
        <is>
          <t>BA</t>
        </is>
      </c>
      <c r="E17" s="38" t="inlineStr">
        <is>
          <t>Việt</t>
        </is>
      </c>
      <c r="F17" s="38" t="inlineStr">
        <is>
          <t>3 ngày</t>
        </is>
      </c>
      <c r="G17" s="39" t="n">
        <v>46288</v>
      </c>
      <c r="H17" s="39" t="n">
        <v>46290</v>
      </c>
      <c r="I17" s="36" t="n">
        <v>39449</v>
      </c>
      <c r="J17" s="40" t="n">
        <v>0</v>
      </c>
      <c r="K17" s="37" t="inlineStr">
        <is>
          <t>Luồng tiếp nhận &amp; Quyết định lời mời việc</t>
        </is>
      </c>
    </row>
    <row r="18">
      <c r="A18" s="36" t="n">
        <v>40180</v>
      </c>
      <c r="B18" s="37" t="inlineStr">
        <is>
          <t>SV10: Quản lý đơn ứng tuyển</t>
        </is>
      </c>
      <c r="C18" s="37" t="inlineStr">
        <is>
          <t>Viết SRS theo dõi trạng thái đơn ứng tuyển và quy định hủy/rút đơn nộp</t>
        </is>
      </c>
      <c r="D18" s="38" t="inlineStr">
        <is>
          <t>BA</t>
        </is>
      </c>
      <c r="E18" s="38" t="inlineStr">
        <is>
          <t>Việt</t>
        </is>
      </c>
      <c r="F18" s="38" t="inlineStr">
        <is>
          <t>3 ngày</t>
        </is>
      </c>
      <c r="G18" s="39" t="n">
        <v>46289</v>
      </c>
      <c r="H18" s="39" t="n">
        <v>46291</v>
      </c>
      <c r="I18" s="36" t="n">
        <v>39449</v>
      </c>
      <c r="J18" s="40" t="n">
        <v>0</v>
      </c>
      <c r="K18" s="37" t="inlineStr">
        <is>
          <t>Theo dõi trạng thái đơn nộp &amp; Rút đơn</t>
        </is>
      </c>
    </row>
    <row r="19">
      <c r="A19" s="36" t="n">
        <v>40545</v>
      </c>
      <c r="B19" s="37" t="inlineStr">
        <is>
          <t>SV11: Quản lý Offer</t>
        </is>
      </c>
      <c r="C19" s="37" t="inlineStr">
        <is>
          <t>Viết SRS quy trình tiếp nhận thư mời làm việc (Offer) và xác nhận điện tử</t>
        </is>
      </c>
      <c r="D19" s="38" t="inlineStr">
        <is>
          <t>BA</t>
        </is>
      </c>
      <c r="E19" s="38" t="inlineStr">
        <is>
          <t>Việt</t>
        </is>
      </c>
      <c r="F19" s="38" t="inlineStr">
        <is>
          <t>3 ngày</t>
        </is>
      </c>
      <c r="G19" s="39" t="n">
        <v>46290</v>
      </c>
      <c r="H19" s="39" t="n">
        <v>46292</v>
      </c>
      <c r="I19" s="36" t="n">
        <v>40180</v>
      </c>
      <c r="J19" s="40" t="n">
        <v>0</v>
      </c>
      <c r="K19" s="37" t="inlineStr">
        <is>
          <t>Quy trình tiếp nhận offer nhận việc</t>
        </is>
      </c>
    </row>
    <row r="20">
      <c r="A20" s="36" t="n">
        <v>40910</v>
      </c>
      <c r="B20" s="37" t="inlineStr">
        <is>
          <t>SV12: Theo dõi &amp; Tham gia Phỏng vấn</t>
        </is>
      </c>
      <c r="C20" s="37" t="inlineStr">
        <is>
          <t>Viết SRS quản lý lịch phỏng vấn cho ứng viên, cơ chế đồng bộ Google Calendar</t>
        </is>
      </c>
      <c r="D20" s="38" t="inlineStr">
        <is>
          <t>BA</t>
        </is>
      </c>
      <c r="E20" s="38" t="inlineStr">
        <is>
          <t>Việt</t>
        </is>
      </c>
      <c r="F20" s="38" t="inlineStr">
        <is>
          <t>3 ngày</t>
        </is>
      </c>
      <c r="G20" s="39" t="n">
        <v>46291</v>
      </c>
      <c r="H20" s="39" t="n">
        <v>46293</v>
      </c>
      <c r="I20" s="36" t="n">
        <v>40180</v>
      </c>
      <c r="J20" s="40" t="n">
        <v>0</v>
      </c>
      <c r="K20" s="37" t="inlineStr">
        <is>
          <t>Lịch phỏng vấn &amp; Sync Google Calendar</t>
        </is>
      </c>
    </row>
    <row r="21">
      <c r="A21" s="36" t="n">
        <v>41276</v>
      </c>
      <c r="B21" s="37" t="inlineStr">
        <is>
          <t>SV13: Nhắn tin với Nhà tuyển dụng</t>
        </is>
      </c>
      <c r="C21" s="37" t="inlineStr">
        <is>
          <t>Viết SRS kênh trao đổi trực tiếp giữa HS/SV và NTD theo ngữ cảnh hồ sơ ứng tuyển</t>
        </is>
      </c>
      <c r="D21" s="38" t="inlineStr">
        <is>
          <t>BA</t>
        </is>
      </c>
      <c r="E21" s="38" t="inlineStr">
        <is>
          <t>Việt</t>
        </is>
      </c>
      <c r="F21" s="38" t="inlineStr">
        <is>
          <t>3 ngày</t>
        </is>
      </c>
      <c r="G21" s="39" t="n">
        <v>46292</v>
      </c>
      <c r="H21" s="39" t="n">
        <v>46294</v>
      </c>
      <c r="I21" s="36" t="n">
        <v>39449</v>
      </c>
      <c r="J21" s="40" t="n">
        <v>0</v>
      </c>
      <c r="K21" s="37" t="inlineStr">
        <is>
          <t>Kênh trao đổi trực tiếp HS/SV và NTD</t>
        </is>
      </c>
    </row>
    <row r="22">
      <c r="A22" s="62" t="n"/>
      <c r="B22" s="66" t="n"/>
      <c r="C22" s="66" t="n"/>
      <c r="D22" s="62" t="n"/>
      <c r="E22" s="62" t="n"/>
      <c r="F22" s="62" t="n"/>
      <c r="G22" s="63" t="n"/>
      <c r="H22" s="63" t="n"/>
      <c r="I22" s="58" t="n"/>
      <c r="J22" s="65" t="n"/>
      <c r="K22" s="66" t="n"/>
    </row>
    <row r="23">
      <c r="A23" s="62" t="n"/>
      <c r="B23" s="66" t="n"/>
      <c r="C23" s="66" t="n"/>
      <c r="D23" s="62" t="n"/>
      <c r="E23" s="62" t="n"/>
      <c r="F23" s="62" t="n"/>
      <c r="G23" s="63" t="n"/>
      <c r="H23" s="63" t="n"/>
      <c r="I23" s="58" t="n"/>
      <c r="J23" s="65" t="n"/>
      <c r="K23" s="66" t="n"/>
    </row>
    <row r="24">
      <c r="A24" s="62" t="n"/>
      <c r="B24" s="66" t="n"/>
      <c r="C24" s="66" t="n"/>
      <c r="D24" s="62" t="n"/>
      <c r="E24" s="62" t="n"/>
      <c r="F24" s="62" t="n"/>
      <c r="G24" s="63" t="n"/>
      <c r="H24" s="63" t="n"/>
      <c r="I24" s="58" t="n"/>
      <c r="J24" s="65" t="n"/>
      <c r="K24" s="66" t="n"/>
    </row>
    <row r="25">
      <c r="A25" s="31" t="n">
        <v>46055</v>
      </c>
      <c r="B25" s="32" t="inlineStr">
        <is>
          <t>GIAI ĐOẠN 1 (W2-W5): THIẾT KẾ TRẢI NGHIỆM &amp; GIAO DIỆN (UI/UX - CHECKPOINT 1)</t>
        </is>
      </c>
      <c r="C25" s="32" t="inlineStr">
        <is>
          <t>Thiết kế giao diện tìm việc, bản đồ, chuẩn bị Prototype Demo lớp học &amp; Checkpoint 1</t>
        </is>
      </c>
      <c r="D25" s="33" t="n"/>
      <c r="E25" s="33" t="n"/>
      <c r="F25" s="33" t="inlineStr">
        <is>
          <t>21 ngày</t>
        </is>
      </c>
      <c r="G25" s="34" t="n">
        <v>46282</v>
      </c>
      <c r="H25" s="34" t="n">
        <v>46302</v>
      </c>
      <c r="I25" s="60" t="n">
        <v>46024</v>
      </c>
      <c r="J25" s="35">
        <f>AVERAGE(J26:J40)</f>
        <v/>
      </c>
      <c r="K25" s="32" t="inlineStr">
        <is>
          <t>15 đầu việc UI/UX - Phục vụ Demo &amp; Checkpoint 1 (W5)</t>
        </is>
      </c>
    </row>
    <row r="26">
      <c r="A26" s="36" t="n">
        <v>36924</v>
      </c>
      <c r="B26" s="37" t="inlineStr">
        <is>
          <t>SV1: Đăng ký, Đăng nhập &amp; Bảo mật tài khoản</t>
        </is>
      </c>
      <c r="C26" s="37" t="inlineStr">
        <is>
          <t>Thiết kế UI/UX luồng đăng ký, đăng nhập, xác thực email và đổi mật khẩu trên Mobile/Web</t>
        </is>
      </c>
      <c r="D26" s="38" t="inlineStr">
        <is>
          <t>UI/UX</t>
        </is>
      </c>
      <c r="E26" s="38" t="inlineStr">
        <is>
          <t>Ngân</t>
        </is>
      </c>
      <c r="F26" s="38" t="inlineStr">
        <is>
          <t>3 ngày</t>
        </is>
      </c>
      <c r="G26" s="39" t="n">
        <v>46282</v>
      </c>
      <c r="H26" s="39" t="n">
        <v>46284</v>
      </c>
      <c r="I26" s="36" t="n">
        <v>36893</v>
      </c>
      <c r="J26" s="40" t="n">
        <v>0</v>
      </c>
      <c r="K26" s="37" t="inlineStr">
        <is>
          <t>Flow đăng ký, đăng nhập trên Mobile/Web</t>
        </is>
      </c>
    </row>
    <row r="27">
      <c r="A27" s="36" t="n">
        <v>37289</v>
      </c>
      <c r="B27" s="37" t="inlineStr">
        <is>
          <t>SV2: Quản lý Hồ sơ tìm việc</t>
        </is>
      </c>
      <c r="C27" s="37" t="inlineStr">
        <is>
          <t>Thiết kế UI/UX trang hồ sơ cá nhân HS/SV, form chọn ca rảnh theo tuần và khu vực</t>
        </is>
      </c>
      <c r="D27" s="38" t="inlineStr">
        <is>
          <t>UI/UX</t>
        </is>
      </c>
      <c r="E27" s="38" t="inlineStr">
        <is>
          <t>Ngân</t>
        </is>
      </c>
      <c r="F27" s="38" t="inlineStr">
        <is>
          <t>3 ngày</t>
        </is>
      </c>
      <c r="G27" s="39" t="n">
        <v>46283</v>
      </c>
      <c r="H27" s="39" t="n">
        <v>46285</v>
      </c>
      <c r="I27" s="36" t="n">
        <v>37258</v>
      </c>
      <c r="J27" s="40" t="n">
        <v>0</v>
      </c>
      <c r="K27" s="37" t="inlineStr">
        <is>
          <t>Trang hồ sơ cá nhân HS/SV &amp; Chọn ca rảnh</t>
        </is>
      </c>
    </row>
    <row r="28">
      <c r="A28" s="36" t="n">
        <v>37654</v>
      </c>
      <c r="B28" s="37" t="inlineStr">
        <is>
          <t>SV3: Thiết lập quyền riêng tư liên hệ</t>
        </is>
      </c>
      <c r="C28" s="37" t="inlineStr">
        <is>
          <t>Thiết kế UI/UX màn hình cài đặt quyền riêng tư và hiển thị chế độ che số liên lạc</t>
        </is>
      </c>
      <c r="D28" s="38" t="inlineStr">
        <is>
          <t>UI/UX</t>
        </is>
      </c>
      <c r="E28" s="38" t="inlineStr">
        <is>
          <t>Ngân</t>
        </is>
      </c>
      <c r="F28" s="38" t="inlineStr">
        <is>
          <t>2 ngày</t>
        </is>
      </c>
      <c r="G28" s="39" t="n">
        <v>46284</v>
      </c>
      <c r="H28" s="39" t="n">
        <v>46285</v>
      </c>
      <c r="I28" s="36" t="n">
        <v>37623</v>
      </c>
      <c r="J28" s="40" t="n">
        <v>0</v>
      </c>
      <c r="K28" s="37" t="inlineStr">
        <is>
          <t>Màn hình cài đặt quyền riêng tư SĐT</t>
        </is>
      </c>
    </row>
    <row r="29">
      <c r="A29" s="41" t="n">
        <v>41672</v>
      </c>
      <c r="B29" s="42" t="inlineStr">
        <is>
          <t>SV14: Trang tổng quan tìm việc (Dashboard)</t>
        </is>
      </c>
      <c r="C29" s="42" t="inlineStr">
        <is>
          <t>Thiết kế UI/UX Dashboard tìm việc: thẻ đếm đơn, lịch phỏng vấn gần nhất và việc lưu</t>
        </is>
      </c>
      <c r="D29" s="43" t="inlineStr">
        <is>
          <t>UI/UX</t>
        </is>
      </c>
      <c r="E29" s="43" t="inlineStr">
        <is>
          <t>Ngân</t>
        </is>
      </c>
      <c r="F29" s="43" t="inlineStr">
        <is>
          <t>3 ngày</t>
        </is>
      </c>
      <c r="G29" s="44" t="n">
        <v>46284</v>
      </c>
      <c r="H29" s="44" t="n">
        <v>46286</v>
      </c>
      <c r="I29" s="41" t="n">
        <v>41641</v>
      </c>
      <c r="J29" s="45" t="n">
        <v>0</v>
      </c>
      <c r="K29" s="42" t="inlineStr">
        <is>
          <t>Ưu tiên Demo W4 (T2 28/09)</t>
        </is>
      </c>
    </row>
    <row r="30">
      <c r="A30" s="41" t="n">
        <v>42037</v>
      </c>
      <c r="B30" s="42" t="inlineStr">
        <is>
          <t>SV15: Thông báo (Notification Center)</t>
        </is>
      </c>
      <c r="C30" s="42" t="inlineStr">
        <is>
          <t>Thiết kế UI/UX trung tâm thông báo và thông báo đẩy (push banner) trên mobile/web</t>
        </is>
      </c>
      <c r="D30" s="43" t="inlineStr">
        <is>
          <t>UI/UX</t>
        </is>
      </c>
      <c r="E30" s="43" t="inlineStr">
        <is>
          <t>Ngân</t>
        </is>
      </c>
      <c r="F30" s="43" t="inlineStr">
        <is>
          <t>3 ngày</t>
        </is>
      </c>
      <c r="G30" s="44" t="n">
        <v>46284</v>
      </c>
      <c r="H30" s="44" t="n">
        <v>46286</v>
      </c>
      <c r="I30" s="41" t="n">
        <v>42006</v>
      </c>
      <c r="J30" s="45" t="n">
        <v>0</v>
      </c>
      <c r="K30" s="42" t="inlineStr">
        <is>
          <t>Ưu tiên Demo W4 (T2 28/09)</t>
        </is>
      </c>
    </row>
    <row r="31">
      <c r="A31" s="36" t="n">
        <v>38019</v>
      </c>
      <c r="B31" s="37" t="inlineStr">
        <is>
          <t>SV4: Khai báo trạng thái sẵn sàng tìm việc</t>
        </is>
      </c>
      <c r="C31" s="37" t="inlineStr">
        <is>
          <t>Thiết kế UI/UX nút toggle trạng thái tìm việc nổi bật và popup hướng dẫn</t>
        </is>
      </c>
      <c r="D31" s="38" t="inlineStr">
        <is>
          <t>UI/UX</t>
        </is>
      </c>
      <c r="E31" s="38" t="inlineStr">
        <is>
          <t>Ngân</t>
        </is>
      </c>
      <c r="F31" s="38" t="inlineStr">
        <is>
          <t>2 ngày</t>
        </is>
      </c>
      <c r="G31" s="39" t="n">
        <v>46285</v>
      </c>
      <c r="H31" s="39" t="n">
        <v>46286</v>
      </c>
      <c r="I31" s="36" t="n">
        <v>37988</v>
      </c>
      <c r="J31" s="40" t="n">
        <v>0</v>
      </c>
      <c r="K31" s="37" t="inlineStr">
        <is>
          <t>Nút toggle trạng thái tìm việc nổi bật</t>
        </is>
      </c>
    </row>
    <row r="32">
      <c r="A32" s="36" t="n">
        <v>38385</v>
      </c>
      <c r="B32" s="37" t="inlineStr">
        <is>
          <t>SV5: Khám phá &amp; Tìm kiếm việc làm</t>
        </is>
      </c>
      <c r="C32" s="37" t="inlineStr">
        <is>
          <t>Thiết kế UI/UX trang tìm kiếm việc làm, bộ lọc nâng cao và trang chi tiết công việc</t>
        </is>
      </c>
      <c r="D32" s="38" t="inlineStr">
        <is>
          <t>UI/UX</t>
        </is>
      </c>
      <c r="E32" s="38" t="inlineStr">
        <is>
          <t>Ngân</t>
        </is>
      </c>
      <c r="F32" s="38" t="inlineStr">
        <is>
          <t>3 ngày</t>
        </is>
      </c>
      <c r="G32" s="39" t="n">
        <v>46286</v>
      </c>
      <c r="H32" s="39" t="n">
        <v>46288</v>
      </c>
      <c r="I32" s="36" t="n">
        <v>38354</v>
      </c>
      <c r="J32" s="40" t="n">
        <v>0</v>
      </c>
      <c r="K32" s="37" t="inlineStr">
        <is>
          <t>Trang tìm kiếm việc làm &amp; Bộ lọc ca làm</t>
        </is>
      </c>
    </row>
    <row r="33">
      <c r="A33" s="36" t="n">
        <v>38750</v>
      </c>
      <c r="B33" s="37" t="inlineStr">
        <is>
          <t>SV6: Xem việc làm theo vị trí bản đồ</t>
        </is>
      </c>
      <c r="C33" s="37" t="inlineStr">
        <is>
          <t>Thiết kế UI/UX màn hình Bản đồ việc làm, marker tin tuyển dụng và popup tóm tắt tin</t>
        </is>
      </c>
      <c r="D33" s="38" t="inlineStr">
        <is>
          <t>UI/UX</t>
        </is>
      </c>
      <c r="E33" s="38" t="inlineStr">
        <is>
          <t>Ngân</t>
        </is>
      </c>
      <c r="F33" s="38" t="inlineStr">
        <is>
          <t>3 ngày</t>
        </is>
      </c>
      <c r="G33" s="39" t="n">
        <v>46288</v>
      </c>
      <c r="H33" s="39" t="n">
        <v>46290</v>
      </c>
      <c r="I33" s="36" t="n">
        <v>38719</v>
      </c>
      <c r="J33" s="40" t="n">
        <v>0</v>
      </c>
      <c r="K33" s="37" t="inlineStr">
        <is>
          <t>Màn hình Bản đồ việc làm &amp; Marker tin</t>
        </is>
      </c>
    </row>
    <row r="34">
      <c r="A34" s="36" t="n">
        <v>39115</v>
      </c>
      <c r="B34" s="37" t="inlineStr">
        <is>
          <t>SV7: Nhận gợi ý việc làm phù hợp</t>
        </is>
      </c>
      <c r="C34" s="37" t="inlineStr">
        <is>
          <t>Thiết kế UI/UX mục 'Việc làm gợi ý cho bạn', badge mức độ phù hợp (%)</t>
        </is>
      </c>
      <c r="D34" s="38" t="inlineStr">
        <is>
          <t>UI/UX</t>
        </is>
      </c>
      <c r="E34" s="38" t="inlineStr">
        <is>
          <t>Ngân</t>
        </is>
      </c>
      <c r="F34" s="38" t="inlineStr">
        <is>
          <t>3 ngày</t>
        </is>
      </c>
      <c r="G34" s="39" t="n">
        <v>46289</v>
      </c>
      <c r="H34" s="39" t="n">
        <v>46291</v>
      </c>
      <c r="I34" s="36" t="n">
        <v>39084</v>
      </c>
      <c r="J34" s="40" t="n">
        <v>0</v>
      </c>
      <c r="K34" s="37" t="inlineStr">
        <is>
          <t>Mục Việc làm gợi ý &amp; Badge độ phù hợp</t>
        </is>
      </c>
    </row>
    <row r="35">
      <c r="A35" s="36" t="n">
        <v>39480</v>
      </c>
      <c r="B35" s="37" t="inlineStr">
        <is>
          <t>SV8: Ứng tuyển công việc</t>
        </is>
      </c>
      <c r="C35" s="37" t="inlineStr">
        <is>
          <t>Thiết kế UI/UX popup xác nhận nộp đơn ứng tuyển và đính kèm thư giới thiệu</t>
        </is>
      </c>
      <c r="D35" s="38" t="inlineStr">
        <is>
          <t>UI/UX</t>
        </is>
      </c>
      <c r="E35" s="38" t="inlineStr">
        <is>
          <t>Ngân</t>
        </is>
      </c>
      <c r="F35" s="38" t="inlineStr">
        <is>
          <t>2 ngày</t>
        </is>
      </c>
      <c r="G35" s="39" t="n">
        <v>46290</v>
      </c>
      <c r="H35" s="39" t="n">
        <v>46291</v>
      </c>
      <c r="I35" s="36" t="n">
        <v>39449</v>
      </c>
      <c r="J35" s="40" t="n">
        <v>0</v>
      </c>
      <c r="K35" s="37" t="inlineStr">
        <is>
          <t>Popup xác nhận nộp đơn ứng tuyển</t>
        </is>
      </c>
    </row>
    <row r="36">
      <c r="A36" s="36" t="n">
        <v>39846</v>
      </c>
      <c r="B36" s="37" t="inlineStr">
        <is>
          <t>SV9: Nhận lời mời ứng tuyển</t>
        </is>
      </c>
      <c r="C36" s="37" t="inlineStr">
        <is>
          <t>Thiết kế UI/UX trang danh sách lời mời ứng tuyển kèm lời nhắn của nhà tuyển dụng</t>
        </is>
      </c>
      <c r="D36" s="38" t="inlineStr">
        <is>
          <t>UI/UX</t>
        </is>
      </c>
      <c r="E36" s="38" t="inlineStr">
        <is>
          <t>Ngân</t>
        </is>
      </c>
      <c r="F36" s="38" t="inlineStr">
        <is>
          <t>2 ngày</t>
        </is>
      </c>
      <c r="G36" s="39" t="n">
        <v>46291</v>
      </c>
      <c r="H36" s="39" t="n">
        <v>46292</v>
      </c>
      <c r="I36" s="36" t="n">
        <v>39815</v>
      </c>
      <c r="J36" s="40" t="n">
        <v>0</v>
      </c>
      <c r="K36" s="37" t="inlineStr">
        <is>
          <t>Trang danh sách lời mời việc làm NTD</t>
        </is>
      </c>
    </row>
    <row r="37">
      <c r="A37" s="36" t="n">
        <v>40211</v>
      </c>
      <c r="B37" s="37" t="inlineStr">
        <is>
          <t>SV10: Quản lý đơn ứng tuyển</t>
        </is>
      </c>
      <c r="C37" s="37" t="inlineStr">
        <is>
          <t>Thiết kế UI/UX trang lịch sử ứng tuyển, timeline trạng thái xử lý từng hồ sơ</t>
        </is>
      </c>
      <c r="D37" s="38" t="inlineStr">
        <is>
          <t>UI/UX</t>
        </is>
      </c>
      <c r="E37" s="38" t="inlineStr">
        <is>
          <t>Ngân</t>
        </is>
      </c>
      <c r="F37" s="38" t="inlineStr">
        <is>
          <t>3 ngày</t>
        </is>
      </c>
      <c r="G37" s="39" t="n">
        <v>46292</v>
      </c>
      <c r="H37" s="39" t="n">
        <v>46294</v>
      </c>
      <c r="I37" s="36" t="n">
        <v>40180</v>
      </c>
      <c r="J37" s="40" t="n">
        <v>0</v>
      </c>
      <c r="K37" s="37" t="inlineStr">
        <is>
          <t>Trang lịch sử ứng tuyển &amp; Timeline trạng thái</t>
        </is>
      </c>
    </row>
    <row r="38">
      <c r="A38" s="36" t="n">
        <v>40576</v>
      </c>
      <c r="B38" s="37" t="inlineStr">
        <is>
          <t>SV11: Quản lý Offer</t>
        </is>
      </c>
      <c r="C38" s="37" t="inlineStr">
        <is>
          <t>Thiết kế UI/UX trang chi tiết offer: thông tin lương thưởng, ca làm và nút phản hồi</t>
        </is>
      </c>
      <c r="D38" s="38" t="inlineStr">
        <is>
          <t>UI/UX</t>
        </is>
      </c>
      <c r="E38" s="38" t="inlineStr">
        <is>
          <t>Ngân</t>
        </is>
      </c>
      <c r="F38" s="38" t="inlineStr">
        <is>
          <t>2 ngày</t>
        </is>
      </c>
      <c r="G38" s="39" t="n">
        <v>46293</v>
      </c>
      <c r="H38" s="39" t="n">
        <v>46294</v>
      </c>
      <c r="I38" s="36" t="n">
        <v>40545</v>
      </c>
      <c r="J38" s="40" t="n">
        <v>0</v>
      </c>
      <c r="K38" s="37" t="inlineStr">
        <is>
          <t>Trang chi tiết offer &amp; Nút phản hồi nhận việc</t>
        </is>
      </c>
    </row>
    <row r="39">
      <c r="A39" s="36" t="n">
        <v>40941</v>
      </c>
      <c r="B39" s="37" t="inlineStr">
        <is>
          <t>SV12: Theo dõi &amp; Tham gia Phỏng vấn</t>
        </is>
      </c>
      <c r="C39" s="37" t="inlineStr">
        <is>
          <t>Thiết kế UI/UX thẻ lịch hẹn phỏng vấn, nút tham gia họp trực tuyến và nhắc lịch</t>
        </is>
      </c>
      <c r="D39" s="38" t="inlineStr">
        <is>
          <t>UI/UX</t>
        </is>
      </c>
      <c r="E39" s="38" t="inlineStr">
        <is>
          <t>Ngân</t>
        </is>
      </c>
      <c r="F39" s="38" t="inlineStr">
        <is>
          <t>3 ngày</t>
        </is>
      </c>
      <c r="G39" s="39" t="n">
        <v>46294</v>
      </c>
      <c r="H39" s="39" t="n">
        <v>46296</v>
      </c>
      <c r="I39" s="36" t="n">
        <v>40910</v>
      </c>
      <c r="J39" s="40" t="n">
        <v>0</v>
      </c>
      <c r="K39" s="37" t="inlineStr">
        <is>
          <t>Thẻ lịch hẹn phỏng vấn &amp; Nhắc lịch</t>
        </is>
      </c>
    </row>
    <row r="40">
      <c r="A40" s="36" t="n">
        <v>41307</v>
      </c>
      <c r="B40" s="37" t="inlineStr">
        <is>
          <t>SV13: Nhắn tin với Nhà tuyển dụng</t>
        </is>
      </c>
      <c r="C40" s="37" t="inlineStr">
        <is>
          <t>Thiết kế UI/UX khung chat thời gian thực cho ứng viên HS/SV</t>
        </is>
      </c>
      <c r="D40" s="38" t="inlineStr">
        <is>
          <t>UI/UX</t>
        </is>
      </c>
      <c r="E40" s="38" t="inlineStr">
        <is>
          <t>Ngân</t>
        </is>
      </c>
      <c r="F40" s="38" t="inlineStr">
        <is>
          <t>3 ngày</t>
        </is>
      </c>
      <c r="G40" s="39" t="n">
        <v>46295</v>
      </c>
      <c r="H40" s="39" t="n">
        <v>46297</v>
      </c>
      <c r="I40" s="36" t="n">
        <v>41276</v>
      </c>
      <c r="J40" s="40" t="n">
        <v>0</v>
      </c>
      <c r="K40" s="37" t="inlineStr">
        <is>
          <t>Khung chat thời gian thực HS/SV</t>
        </is>
      </c>
    </row>
    <row r="41">
      <c r="A41" s="62" t="n"/>
      <c r="B41" s="66" t="n"/>
      <c r="C41" s="66" t="n"/>
      <c r="D41" s="62" t="n"/>
      <c r="E41" s="62" t="n"/>
      <c r="F41" s="62" t="n"/>
      <c r="G41" s="63" t="n"/>
      <c r="H41" s="63" t="n"/>
      <c r="I41" s="58" t="n"/>
      <c r="J41" s="65" t="n"/>
      <c r="K41" s="66" t="n"/>
    </row>
    <row r="42">
      <c r="A42" s="62" t="n"/>
      <c r="B42" s="66" t="n"/>
      <c r="C42" s="66" t="n"/>
      <c r="D42" s="62" t="n"/>
      <c r="E42" s="62" t="n"/>
      <c r="F42" s="62" t="n"/>
      <c r="G42" s="63" t="n"/>
      <c r="H42" s="63" t="n"/>
      <c r="I42" s="62" t="n"/>
      <c r="J42" s="65" t="n"/>
      <c r="K42" s="66" t="n"/>
    </row>
    <row r="43">
      <c r="A43" s="62" t="n"/>
      <c r="B43" s="66" t="n"/>
      <c r="C43" s="66" t="n"/>
      <c r="D43" s="62" t="n"/>
      <c r="E43" s="62" t="n"/>
      <c r="F43" s="62" t="n"/>
      <c r="G43" s="63" t="n"/>
      <c r="H43" s="63" t="n"/>
      <c r="I43" s="58" t="n"/>
      <c r="J43" s="65" t="n"/>
      <c r="K43" s="66" t="n"/>
    </row>
    <row r="44">
      <c r="A44" s="31" t="n">
        <v>46083</v>
      </c>
      <c r="B44" s="32" t="inlineStr">
        <is>
          <t>GIAI ĐOẠN 2 &amp; 3 (W3-W9): PHÁT TRIỂN BACKEND &amp; CƠ SỞ DỮ LIỆU (DEV BE - MVP &amp; FINAL)</t>
        </is>
      </c>
      <c r="C44" s="32" t="inlineStr">
        <is>
          <t>Xây dựng API ứng viên; ưu tiên API Demo W4 (SV16-17), hoàn thiện MVP W7 và Final trước 07/11</t>
        </is>
      </c>
      <c r="D44" s="33" t="inlineStr">
        <is>
          <t>Nhóm ưu tiên</t>
        </is>
      </c>
      <c r="E44" s="33" t="inlineStr">
        <is>
          <t>Quang</t>
        </is>
      </c>
      <c r="F44" s="33" t="inlineStr">
        <is>
          <t>44 ngày</t>
        </is>
      </c>
      <c r="G44" s="34" t="n">
        <v>46287</v>
      </c>
      <c r="H44" s="34" t="n">
        <v>46330</v>
      </c>
      <c r="I44" s="33" t="inlineStr">
        <is>
          <t>2.1, 2.2</t>
        </is>
      </c>
      <c r="J44" s="35">
        <f>AVERAGE(J45:J59)</f>
        <v/>
      </c>
      <c r="K44" s="32" t="inlineStr">
        <is>
          <t>15 đầu việc BE - Ưu tiên Demo W4 (SV16-17), MVP W7 và Final trước 07/11</t>
        </is>
      </c>
    </row>
    <row r="45">
      <c r="A45" s="41" t="n">
        <v>41700</v>
      </c>
      <c r="B45" s="42" t="inlineStr">
        <is>
          <t>SV14: Trang tổng quan tìm việc (Dashboard)</t>
        </is>
      </c>
      <c r="C45" s="42" t="inlineStr">
        <is>
          <t>Phát triển API tổng hợp số liệu Dashboard tìm việc của ứng viên</t>
        </is>
      </c>
      <c r="D45" s="43" t="inlineStr">
        <is>
          <t>FO - BE</t>
        </is>
      </c>
      <c r="E45" s="43" t="inlineStr">
        <is>
          <t>Nghĩa</t>
        </is>
      </c>
      <c r="F45" s="43" t="inlineStr">
        <is>
          <t>4 ngày</t>
        </is>
      </c>
      <c r="G45" s="44" t="n">
        <v>46287</v>
      </c>
      <c r="H45" s="44" t="n">
        <v>46290</v>
      </c>
      <c r="I45" s="41" t="n">
        <v>41672</v>
      </c>
      <c r="J45" s="45" t="n">
        <v>0</v>
      </c>
      <c r="K45" s="42" t="inlineStr">
        <is>
          <t>★ Ưu tiên Demo W4 (T2 28/09)</t>
        </is>
      </c>
    </row>
    <row r="46">
      <c r="A46" s="41" t="n">
        <v>42065</v>
      </c>
      <c r="B46" s="42" t="inlineStr">
        <is>
          <t>SV15: Thông báo (Notification Center)</t>
        </is>
      </c>
      <c r="C46" s="42" t="inlineStr">
        <is>
          <t>Phát triển Service Push Notification đến ứng viên, API đánh dấu đã xem</t>
        </is>
      </c>
      <c r="D46" s="43" t="inlineStr">
        <is>
          <t>FO - BE</t>
        </is>
      </c>
      <c r="E46" s="43" t="inlineStr">
        <is>
          <t>Quang</t>
        </is>
      </c>
      <c r="F46" s="43" t="inlineStr">
        <is>
          <t>4 ngày</t>
        </is>
      </c>
      <c r="G46" s="44" t="n">
        <v>46287</v>
      </c>
      <c r="H46" s="44" t="n">
        <v>46290</v>
      </c>
      <c r="I46" s="41" t="n">
        <v>42037</v>
      </c>
      <c r="J46" s="45" t="n">
        <v>0</v>
      </c>
      <c r="K46" s="42" t="inlineStr">
        <is>
          <t>★ Ưu tiên Demo W4 (T2 28/09)</t>
        </is>
      </c>
    </row>
    <row r="47">
      <c r="A47" s="36" t="n">
        <v>36952</v>
      </c>
      <c r="B47" s="37" t="inlineStr">
        <is>
          <t>SV1: Đăng ký, Đăng nhập &amp; Bảo mật tài khoản</t>
        </is>
      </c>
      <c r="C47" s="37" t="inlineStr">
        <is>
          <t>Phát triển API đăng ký, đăng nhập ứng viên, cấp token xác thực và gửi OTP email</t>
        </is>
      </c>
      <c r="D47" s="38" t="inlineStr">
        <is>
          <t>FO - BE</t>
        </is>
      </c>
      <c r="E47" s="38" t="inlineStr">
        <is>
          <t>Quang</t>
        </is>
      </c>
      <c r="F47" s="38" t="inlineStr">
        <is>
          <t>3 ngày</t>
        </is>
      </c>
      <c r="G47" s="39" t="n">
        <v>46294</v>
      </c>
      <c r="H47" s="39" t="n">
        <v>46296</v>
      </c>
      <c r="I47" s="36" t="n">
        <v>36924</v>
      </c>
      <c r="J47" s="40" t="n">
        <v>0</v>
      </c>
      <c r="K47" s="37" t="inlineStr">
        <is>
          <t>API Auth HS/SV &amp; OTP email</t>
        </is>
      </c>
    </row>
    <row r="48">
      <c r="A48" s="36" t="n">
        <v>37317</v>
      </c>
      <c r="B48" s="37" t="inlineStr">
        <is>
          <t>SV2: Quản lý Hồ sơ tìm việc</t>
        </is>
      </c>
      <c r="C48" s="37" t="inlineStr">
        <is>
          <t>Phát triển API cập nhật thông tin cá nhân HS/SV, khung giờ rảnh và kỹ năng</t>
        </is>
      </c>
      <c r="D48" s="38" t="inlineStr">
        <is>
          <t>FO - BE</t>
        </is>
      </c>
      <c r="E48" s="38" t="inlineStr">
        <is>
          <t>Quang</t>
        </is>
      </c>
      <c r="F48" s="38" t="inlineStr">
        <is>
          <t>3 ngày</t>
        </is>
      </c>
      <c r="G48" s="39" t="n">
        <v>46295</v>
      </c>
      <c r="H48" s="39" t="n">
        <v>46297</v>
      </c>
      <c r="I48" s="36" t="n">
        <v>37289</v>
      </c>
      <c r="J48" s="40" t="n">
        <v>0</v>
      </c>
      <c r="K48" s="37" t="inlineStr">
        <is>
          <t>API Hồ sơ HS/SV &amp; Ca rảnh part-time</t>
        </is>
      </c>
    </row>
    <row r="49">
      <c r="A49" s="36" t="n">
        <v>37682</v>
      </c>
      <c r="B49" s="37" t="inlineStr">
        <is>
          <t>SV3: Thiết lập quyền riêng tư liên hệ</t>
        </is>
      </c>
      <c r="C49" s="37" t="inlineStr">
        <is>
          <t>Phát triển API cấu hình ma trận quyền riêng tư và che số liên lạc của ứng viên</t>
        </is>
      </c>
      <c r="D49" s="38" t="inlineStr">
        <is>
          <t>FO - BE</t>
        </is>
      </c>
      <c r="E49" s="38" t="inlineStr">
        <is>
          <t>Nghĩa</t>
        </is>
      </c>
      <c r="F49" s="38" t="inlineStr">
        <is>
          <t>2 ngày</t>
        </is>
      </c>
      <c r="G49" s="39" t="n">
        <v>46296</v>
      </c>
      <c r="H49" s="39" t="n">
        <v>46297</v>
      </c>
      <c r="I49" s="36" t="n">
        <v>37654</v>
      </c>
      <c r="J49" s="40" t="n">
        <v>0</v>
      </c>
      <c r="K49" s="37" t="inlineStr">
        <is>
          <t>API Cấu hình quyền riêng tư &amp; Che SĐT</t>
        </is>
      </c>
    </row>
    <row r="50">
      <c r="A50" s="36" t="n">
        <v>38048</v>
      </c>
      <c r="B50" s="37" t="inlineStr">
        <is>
          <t>SV4: Khai báo trạng thái sẵn sàng tìm việc</t>
        </is>
      </c>
      <c r="C50" s="37" t="inlineStr">
        <is>
          <t>Phát triển API cập nhật trạng thái tìm việc và cập nhật danh sách ứng viên mở</t>
        </is>
      </c>
      <c r="D50" s="38" t="inlineStr">
        <is>
          <t>FO - BE</t>
        </is>
      </c>
      <c r="E50" s="38" t="inlineStr">
        <is>
          <t>Nghĩa</t>
        </is>
      </c>
      <c r="F50" s="38" t="inlineStr">
        <is>
          <t>2 ngày</t>
        </is>
      </c>
      <c r="G50" s="39" t="n">
        <v>46297</v>
      </c>
      <c r="H50" s="39" t="n">
        <v>46298</v>
      </c>
      <c r="I50" s="36" t="n">
        <v>38019</v>
      </c>
      <c r="J50" s="40" t="n">
        <v>0</v>
      </c>
      <c r="K50" s="37" t="inlineStr">
        <is>
          <t>API Cập nhật trạng thái đang tìm việc</t>
        </is>
      </c>
    </row>
    <row r="51">
      <c r="A51" s="36" t="n">
        <v>38413</v>
      </c>
      <c r="B51" s="37" t="inlineStr">
        <is>
          <t>SV5: Khám phá &amp; Tìm kiếm việc làm</t>
        </is>
      </c>
      <c r="C51" s="37" t="inlineStr">
        <is>
          <t>Phát triển API tìm kiếm, lọc tin tuyển dụng và API chi tiết công việc đang mở</t>
        </is>
      </c>
      <c r="D51" s="38" t="inlineStr">
        <is>
          <t>FO - BE</t>
        </is>
      </c>
      <c r="E51" s="38" t="inlineStr">
        <is>
          <t>Nghĩa</t>
        </is>
      </c>
      <c r="F51" s="38" t="inlineStr">
        <is>
          <t>3 ngày</t>
        </is>
      </c>
      <c r="G51" s="39" t="n">
        <v>46298</v>
      </c>
      <c r="H51" s="39" t="n">
        <v>46300</v>
      </c>
      <c r="I51" s="36" t="n">
        <v>38385</v>
      </c>
      <c r="J51" s="40" t="n">
        <v>0</v>
      </c>
      <c r="K51" s="37" t="inlineStr">
        <is>
          <t>API Tìm kiếm &amp; Lọc việc làm theo ca</t>
        </is>
      </c>
    </row>
    <row r="52">
      <c r="A52" s="36" t="n">
        <v>38778</v>
      </c>
      <c r="B52" s="37" t="inlineStr">
        <is>
          <t>SV6: Xem việc làm theo vị trí bản đồ</t>
        </is>
      </c>
      <c r="C52" s="37" t="inlineStr">
        <is>
          <t>Phát triển API truy vấn công việc theo bán kính địa lý (Geo-query) và tọa độ</t>
        </is>
      </c>
      <c r="D52" s="38" t="inlineStr">
        <is>
          <t>FO - BE</t>
        </is>
      </c>
      <c r="E52" s="38" t="inlineStr">
        <is>
          <t>Quang</t>
        </is>
      </c>
      <c r="F52" s="38" t="inlineStr">
        <is>
          <t>3 ngày</t>
        </is>
      </c>
      <c r="G52" s="39" t="n">
        <v>46300</v>
      </c>
      <c r="H52" s="39" t="n">
        <v>46302</v>
      </c>
      <c r="I52" s="36" t="n">
        <v>38750</v>
      </c>
      <c r="J52" s="40" t="n">
        <v>0</v>
      </c>
      <c r="K52" s="37" t="inlineStr">
        <is>
          <t>API Geo-query bán kính &amp; Tọa độ bản đồ</t>
        </is>
      </c>
    </row>
    <row r="53">
      <c r="A53" s="36" t="n">
        <v>39143</v>
      </c>
      <c r="B53" s="37" t="inlineStr">
        <is>
          <t>SV7: Nhận gợi ý việc làm phù hợp</t>
        </is>
      </c>
      <c r="C53" s="37" t="inlineStr">
        <is>
          <t>Phát triển API gợi ý việc làm cá nhân hóa theo hồ sơ và hành vi tìm kiếm</t>
        </is>
      </c>
      <c r="D53" s="38" t="inlineStr">
        <is>
          <t>FO - BE</t>
        </is>
      </c>
      <c r="E53" s="38" t="inlineStr">
        <is>
          <t>Nghĩa</t>
        </is>
      </c>
      <c r="F53" s="38" t="inlineStr">
        <is>
          <t>3 ngày</t>
        </is>
      </c>
      <c r="G53" s="39" t="n">
        <v>46302</v>
      </c>
      <c r="H53" s="39" t="n">
        <v>46304</v>
      </c>
      <c r="I53" s="36" t="n">
        <v>39115</v>
      </c>
      <c r="J53" s="40" t="n">
        <v>0</v>
      </c>
      <c r="K53" s="37" t="inlineStr">
        <is>
          <t>API Matching việc làm cá nhân hóa HS/SV</t>
        </is>
      </c>
    </row>
    <row r="54">
      <c r="A54" s="36" t="n">
        <v>39509</v>
      </c>
      <c r="B54" s="37" t="inlineStr">
        <is>
          <t>SV8: Ứng tuyển công việc</t>
        </is>
      </c>
      <c r="C54" s="37" t="inlineStr">
        <is>
          <t>Phát triển API nộp đơn ứng tuyển, kiểm tra điều kiện ứng tuyển và ghi nhận snapshot</t>
        </is>
      </c>
      <c r="D54" s="38" t="inlineStr">
        <is>
          <t>FO - BE</t>
        </is>
      </c>
      <c r="E54" s="38" t="inlineStr">
        <is>
          <t>Nghĩa</t>
        </is>
      </c>
      <c r="F54" s="38" t="inlineStr">
        <is>
          <t>3 ngày</t>
        </is>
      </c>
      <c r="G54" s="39" t="n">
        <v>46304</v>
      </c>
      <c r="H54" s="39" t="n">
        <v>46306</v>
      </c>
      <c r="I54" s="36" t="n">
        <v>39480</v>
      </c>
      <c r="J54" s="40" t="n">
        <v>0</v>
      </c>
      <c r="K54" s="37" t="inlineStr">
        <is>
          <t>API Nộp đơn ứng tuyển &amp; Snapshot hồ sơ</t>
        </is>
      </c>
    </row>
    <row r="55">
      <c r="A55" s="36" t="n">
        <v>39874</v>
      </c>
      <c r="B55" s="37" t="inlineStr">
        <is>
          <t>SV9: Nhận lời mời ứng tuyển</t>
        </is>
      </c>
      <c r="C55" s="37" t="inlineStr">
        <is>
          <t>Phát triển API lấy danh sách lời mời và API phản hồi (Đồng ý ứng tuyển / Bỏ qua)</t>
        </is>
      </c>
      <c r="D55" s="38" t="inlineStr">
        <is>
          <t>FO - BE</t>
        </is>
      </c>
      <c r="E55" s="38" t="inlineStr">
        <is>
          <t>Nghĩa</t>
        </is>
      </c>
      <c r="F55" s="38" t="inlineStr">
        <is>
          <t>3 ngày</t>
        </is>
      </c>
      <c r="G55" s="39" t="n">
        <v>46306</v>
      </c>
      <c r="H55" s="39" t="n">
        <v>46308</v>
      </c>
      <c r="I55" s="36" t="n">
        <v>39846</v>
      </c>
      <c r="J55" s="40" t="n">
        <v>0</v>
      </c>
      <c r="K55" s="37" t="inlineStr">
        <is>
          <t>API Lấy danh sách &amp; Phản hồi lời mời việc</t>
        </is>
      </c>
    </row>
    <row r="56">
      <c r="A56" s="36" t="n">
        <v>40239</v>
      </c>
      <c r="B56" s="37" t="inlineStr">
        <is>
          <t>SV10: Quản lý đơn ứng tuyển</t>
        </is>
      </c>
      <c r="C56" s="37" t="inlineStr">
        <is>
          <t>Phát triển API truy vấn danh sách đơn đã nộp, tiến trình và API rút hồ sơ</t>
        </is>
      </c>
      <c r="D56" s="38" t="inlineStr">
        <is>
          <t>FO - BE</t>
        </is>
      </c>
      <c r="E56" s="38" t="inlineStr">
        <is>
          <t>Quang</t>
        </is>
      </c>
      <c r="F56" s="38" t="inlineStr">
        <is>
          <t>3 ngày</t>
        </is>
      </c>
      <c r="G56" s="39" t="n">
        <v>46308</v>
      </c>
      <c r="H56" s="39" t="n">
        <v>46310</v>
      </c>
      <c r="I56" s="36" t="n">
        <v>40211</v>
      </c>
      <c r="J56" s="40" t="n">
        <v>0</v>
      </c>
      <c r="K56" s="37" t="inlineStr">
        <is>
          <t>API Quản lý đơn đã nộp &amp; Rút hồ sơ</t>
        </is>
      </c>
    </row>
    <row r="57">
      <c r="A57" s="36" t="n">
        <v>40604</v>
      </c>
      <c r="B57" s="37" t="inlineStr">
        <is>
          <t>SV11: Quản lý Offer</t>
        </is>
      </c>
      <c r="C57" s="37" t="inlineStr">
        <is>
          <t>Phát triển API xem chi tiết offer và API gửi phản hồi (Chấp nhận / Từ chối kèm lý do)</t>
        </is>
      </c>
      <c r="D57" s="38" t="inlineStr">
        <is>
          <t>FO - BE</t>
        </is>
      </c>
      <c r="E57" s="38" t="inlineStr">
        <is>
          <t>Quang</t>
        </is>
      </c>
      <c r="F57" s="38" t="inlineStr">
        <is>
          <t>3 ngày</t>
        </is>
      </c>
      <c r="G57" s="39" t="n">
        <v>46310</v>
      </c>
      <c r="H57" s="39" t="n">
        <v>46312</v>
      </c>
      <c r="I57" s="36" t="n">
        <v>40576</v>
      </c>
      <c r="J57" s="40" t="n">
        <v>0</v>
      </c>
      <c r="K57" s="37" t="inlineStr">
        <is>
          <t>API Xem chi tiết &amp; Phản hồi offer nhận việc</t>
        </is>
      </c>
    </row>
    <row r="58">
      <c r="A58" s="36" t="n">
        <v>40970</v>
      </c>
      <c r="B58" s="37" t="inlineStr">
        <is>
          <t>SV12: Theo dõi &amp; Tham gia Phỏng vấn</t>
        </is>
      </c>
      <c r="C58" s="37" t="inlineStr">
        <is>
          <t>Phát triển API lấy danh sách lịch hẹn phỏng vấn sắp tới và cập nhật xác nhận tham gia</t>
        </is>
      </c>
      <c r="D58" s="38" t="inlineStr">
        <is>
          <t>FO - BE</t>
        </is>
      </c>
      <c r="E58" s="38" t="inlineStr">
        <is>
          <t>Quang</t>
        </is>
      </c>
      <c r="F58" s="38" t="inlineStr">
        <is>
          <t>3 ngày</t>
        </is>
      </c>
      <c r="G58" s="39" t="n">
        <v>46312</v>
      </c>
      <c r="H58" s="39" t="n">
        <v>46314</v>
      </c>
      <c r="I58" s="36" t="n">
        <v>40941</v>
      </c>
      <c r="J58" s="40" t="n">
        <v>0</v>
      </c>
      <c r="K58" s="37" t="inlineStr">
        <is>
          <t>API Lịch phỏng vấn &amp; Xác nhận tham gia</t>
        </is>
      </c>
    </row>
    <row r="59">
      <c r="A59" s="36" t="n">
        <v>41335</v>
      </c>
      <c r="B59" s="37" t="inlineStr">
        <is>
          <t>SV13: Nhắn tin với Nhà tuyển dụng</t>
        </is>
      </c>
      <c r="C59" s="37" t="inlineStr">
        <is>
          <t>Phát triển WebSocket chat cho ứng viên, API gửi/nhận tin nhắn và lịch sử trò chuyện</t>
        </is>
      </c>
      <c r="D59" s="38" t="inlineStr">
        <is>
          <t>FO - BE</t>
        </is>
      </c>
      <c r="E59" s="38" t="inlineStr">
        <is>
          <t>Nghĩa</t>
        </is>
      </c>
      <c r="F59" s="38" t="inlineStr">
        <is>
          <t>3 ngày</t>
        </is>
      </c>
      <c r="G59" s="39" t="n">
        <v>46314</v>
      </c>
      <c r="H59" s="39" t="n">
        <v>46316</v>
      </c>
      <c r="I59" s="36" t="n">
        <v>41307</v>
      </c>
      <c r="J59" s="40" t="n">
        <v>0</v>
      </c>
      <c r="K59" s="37" t="inlineStr">
        <is>
          <t>WebSocket Chat ứng viên HS/SV</t>
        </is>
      </c>
    </row>
    <row r="60">
      <c r="A60" s="62" t="n"/>
      <c r="B60" s="66" t="n"/>
      <c r="C60" s="66" t="n"/>
      <c r="D60" s="62" t="n"/>
      <c r="E60" s="62" t="n"/>
      <c r="F60" s="62" t="n"/>
      <c r="G60" s="63" t="n"/>
      <c r="H60" s="63" t="n"/>
      <c r="I60" s="67" t="n"/>
      <c r="J60" s="65" t="n"/>
      <c r="K60" s="66" t="n"/>
    </row>
    <row r="61">
      <c r="A61" s="62" t="n"/>
      <c r="B61" s="66" t="n"/>
      <c r="C61" s="66" t="n"/>
      <c r="D61" s="62" t="n"/>
      <c r="E61" s="62" t="n"/>
      <c r="F61" s="62" t="n"/>
      <c r="G61" s="63" t="n"/>
      <c r="H61" s="63" t="n"/>
      <c r="I61" s="67" t="n"/>
      <c r="J61" s="65" t="n"/>
      <c r="K61" s="66" t="n"/>
    </row>
    <row r="62">
      <c r="A62" s="62" t="n"/>
      <c r="B62" s="66" t="n"/>
      <c r="C62" s="66" t="n"/>
      <c r="D62" s="62" t="n"/>
      <c r="E62" s="62" t="n"/>
      <c r="F62" s="62" t="n"/>
      <c r="G62" s="63" t="n"/>
      <c r="H62" s="63" t="n"/>
      <c r="I62" s="67" t="n"/>
      <c r="J62" s="65" t="n"/>
      <c r="K62" s="66" t="n"/>
    </row>
    <row r="63">
      <c r="A63" s="31" t="n">
        <v>46114</v>
      </c>
      <c r="B63" s="32" t="inlineStr">
        <is>
          <t>GIAI ĐOẠN 2 &amp; 3 (W3-W9): PHÁT TRIỂN GIAO DIỆN &amp; TÍCH HỢP (DEV FE - MVP &amp; FINAL)</t>
        </is>
      </c>
      <c r="C63" s="32" t="inlineStr">
        <is>
          <t>Xây dựng giao diện HS/SV; ưu tiên Demo W4 (SV16-17), hoàn thiện MVP W7 và Final trước 07/11</t>
        </is>
      </c>
      <c r="D63" s="33" t="n"/>
      <c r="E63" s="33" t="n"/>
      <c r="F63" s="33" t="inlineStr">
        <is>
          <t>44 ngày</t>
        </is>
      </c>
      <c r="G63" s="34" t="n">
        <v>46289</v>
      </c>
      <c r="H63" s="34" t="n">
        <v>46332</v>
      </c>
      <c r="I63" s="33" t="inlineStr">
        <is>
          <t>2.2, 2.3</t>
        </is>
      </c>
      <c r="J63" s="35">
        <f>AVERAGE(J64:J78)</f>
        <v/>
      </c>
      <c r="K63" s="32" t="inlineStr">
        <is>
          <t>15 đầu việc FE - Ưu tiên Demo W4 (SV16-17), MVP W7 và Final trước 07/11</t>
        </is>
      </c>
    </row>
    <row r="64">
      <c r="A64" s="41" t="n">
        <v>41731</v>
      </c>
      <c r="B64" s="42" t="inlineStr">
        <is>
          <t>SV14: Trang tổng quan tìm việc (Dashboard)</t>
        </is>
      </c>
      <c r="C64" s="42" t="inlineStr">
        <is>
          <t>Phát triển giao diện Dashboard cá nhân cho HS/SV trên Kênh người tìm việc</t>
        </is>
      </c>
      <c r="D64" s="43" t="inlineStr">
        <is>
          <t>FO - FE</t>
        </is>
      </c>
      <c r="E64" s="43" t="inlineStr">
        <is>
          <t>Kiên</t>
        </is>
      </c>
      <c r="F64" s="43" t="inlineStr">
        <is>
          <t>4 ngày</t>
        </is>
      </c>
      <c r="G64" s="44" t="n">
        <v>46289</v>
      </c>
      <c r="H64" s="44" t="n">
        <v>46292</v>
      </c>
      <c r="I64" s="41" t="n">
        <v>41700</v>
      </c>
      <c r="J64" s="45" t="n">
        <v>0</v>
      </c>
      <c r="K64" s="42" t="inlineStr">
        <is>
          <t>★ Ưu tiên Demo W4 (T2 28/09)</t>
        </is>
      </c>
    </row>
    <row r="65">
      <c r="A65" s="41" t="n">
        <v>42096</v>
      </c>
      <c r="B65" s="42" t="inlineStr">
        <is>
          <t>SV15: Thông báo (Notification Center)</t>
        </is>
      </c>
      <c r="C65" s="42" t="inlineStr">
        <is>
          <t>Phát triển giao diện Notification Center và bộ lọc thông báo trên Kênh HS/SV</t>
        </is>
      </c>
      <c r="D65" s="43" t="inlineStr">
        <is>
          <t>FO - FE</t>
        </is>
      </c>
      <c r="E65" s="43" t="inlineStr">
        <is>
          <t>Kiên</t>
        </is>
      </c>
      <c r="F65" s="43" t="inlineStr">
        <is>
          <t>4 ngày</t>
        </is>
      </c>
      <c r="G65" s="44" t="n">
        <v>46289</v>
      </c>
      <c r="H65" s="44" t="n">
        <v>46292</v>
      </c>
      <c r="I65" s="41" t="n">
        <v>42065</v>
      </c>
      <c r="J65" s="45" t="n">
        <v>0</v>
      </c>
      <c r="K65" s="42" t="inlineStr">
        <is>
          <t>★ Ưu tiên Demo W4 (T2 28/09)</t>
        </is>
      </c>
    </row>
    <row r="66">
      <c r="A66" s="36" t="n">
        <v>36983</v>
      </c>
      <c r="B66" s="37" t="inlineStr">
        <is>
          <t>SV1: Đăng ký, Đăng nhập &amp; Bảo mật tài khoản</t>
        </is>
      </c>
      <c r="C66" s="37" t="inlineStr">
        <is>
          <t>Phát triển giao diện đăng ký, đăng nhập ứng viên, xác thực OTP email và đổi mật khẩu</t>
        </is>
      </c>
      <c r="D66" s="38" t="inlineStr">
        <is>
          <t>FO - FE</t>
        </is>
      </c>
      <c r="E66" s="38" t="inlineStr">
        <is>
          <t>Kiên</t>
        </is>
      </c>
      <c r="F66" s="38" t="inlineStr">
        <is>
          <t>3 ngày</t>
        </is>
      </c>
      <c r="G66" s="39" t="n">
        <v>46296</v>
      </c>
      <c r="H66" s="39" t="n">
        <v>46298</v>
      </c>
      <c r="I66" s="36" t="n">
        <v>36952</v>
      </c>
      <c r="J66" s="40" t="n">
        <v>0</v>
      </c>
      <c r="K66" s="37" t="inlineStr">
        <is>
          <t>Giao diện Đăng ký, Đăng nhập, OTP email</t>
        </is>
      </c>
    </row>
    <row r="67">
      <c r="A67" s="36" t="n">
        <v>37348</v>
      </c>
      <c r="B67" s="37" t="inlineStr">
        <is>
          <t>SV2: Quản lý Hồ sơ tìm việc</t>
        </is>
      </c>
      <c r="C67" s="37" t="inlineStr">
        <is>
          <t>Phát triển giao diện hồ sơ cá nhân HS/SV, form chọn ca rảnh theo tuần và khu vực</t>
        </is>
      </c>
      <c r="D67" s="38" t="inlineStr">
        <is>
          <t>FO - FE</t>
        </is>
      </c>
      <c r="E67" s="38" t="inlineStr">
        <is>
          <t>Kiên</t>
        </is>
      </c>
      <c r="F67" s="38" t="inlineStr">
        <is>
          <t>3 ngày</t>
        </is>
      </c>
      <c r="G67" s="39" t="n">
        <v>46297</v>
      </c>
      <c r="H67" s="39" t="n">
        <v>46299</v>
      </c>
      <c r="I67" s="36" t="n">
        <v>37317</v>
      </c>
      <c r="J67" s="40" t="n">
        <v>0</v>
      </c>
      <c r="K67" s="37" t="inlineStr">
        <is>
          <t>Form hồ sơ HS/SV &amp; Chọn ca rảnh tuần</t>
        </is>
      </c>
    </row>
    <row r="68">
      <c r="A68" s="36" t="n">
        <v>37713</v>
      </c>
      <c r="B68" s="37" t="inlineStr">
        <is>
          <t>SV3: Thiết lập quyền riêng tư liên hệ</t>
        </is>
      </c>
      <c r="C68" s="37" t="inlineStr">
        <is>
          <t>Phát triển giao diện cài đặt quyền riêng tư và hiển thị chế độ bảo mật liên lạc</t>
        </is>
      </c>
      <c r="D68" s="38" t="inlineStr">
        <is>
          <t>FO - FE</t>
        </is>
      </c>
      <c r="E68" s="38" t="inlineStr">
        <is>
          <t>Việt</t>
        </is>
      </c>
      <c r="F68" s="38" t="inlineStr">
        <is>
          <t>2 ngày</t>
        </is>
      </c>
      <c r="G68" s="39" t="n">
        <v>46298</v>
      </c>
      <c r="H68" s="39" t="n">
        <v>46299</v>
      </c>
      <c r="I68" s="36" t="n">
        <v>37682</v>
      </c>
      <c r="J68" s="40" t="n">
        <v>0</v>
      </c>
      <c r="K68" s="37" t="inlineStr">
        <is>
          <t>Giao diện cài đặt bảo mật liên lạc HS/SV</t>
        </is>
      </c>
    </row>
    <row r="69">
      <c r="A69" s="36" t="n">
        <v>38079</v>
      </c>
      <c r="B69" s="37" t="inlineStr">
        <is>
          <t>SV4: Khai báo trạng thái sẵn sàng tìm việc</t>
        </is>
      </c>
      <c r="C69" s="37" t="inlineStr">
        <is>
          <t>Phát triển switch trạng thái tìm việc trên trang cá nhân/dashboard HS/SV</t>
        </is>
      </c>
      <c r="D69" s="38" t="inlineStr">
        <is>
          <t>FO - FE</t>
        </is>
      </c>
      <c r="E69" s="38" t="inlineStr">
        <is>
          <t>Việt</t>
        </is>
      </c>
      <c r="F69" s="38" t="inlineStr">
        <is>
          <t>2 ngày</t>
        </is>
      </c>
      <c r="G69" s="39" t="n">
        <v>46299</v>
      </c>
      <c r="H69" s="39" t="n">
        <v>46300</v>
      </c>
      <c r="I69" s="36" t="n">
        <v>38048</v>
      </c>
      <c r="J69" s="40" t="n">
        <v>0</v>
      </c>
      <c r="K69" s="37" t="inlineStr">
        <is>
          <t>Switch trạng thái tìm việc trên profile</t>
        </is>
      </c>
    </row>
    <row r="70">
      <c r="A70" s="36" t="n">
        <v>38444</v>
      </c>
      <c r="B70" s="37" t="inlineStr">
        <is>
          <t>SV5: Khám phá &amp; Tìm kiếm việc làm</t>
        </is>
      </c>
      <c r="C70" s="37" t="inlineStr">
        <is>
          <t>Phát triển giao diện tìm kiếm việc làm, thanh lọc đa tiêu chí và trang chi tiết tin</t>
        </is>
      </c>
      <c r="D70" s="38" t="inlineStr">
        <is>
          <t>FO - FE</t>
        </is>
      </c>
      <c r="E70" s="38" t="inlineStr">
        <is>
          <t>Kiên</t>
        </is>
      </c>
      <c r="F70" s="38" t="inlineStr">
        <is>
          <t>3 ngày</t>
        </is>
      </c>
      <c r="G70" s="39" t="n">
        <v>46300</v>
      </c>
      <c r="H70" s="39" t="n">
        <v>46302</v>
      </c>
      <c r="I70" s="36" t="n">
        <v>38413</v>
      </c>
      <c r="J70" s="40" t="n">
        <v>0</v>
      </c>
      <c r="K70" s="37" t="inlineStr">
        <is>
          <t>Giao diện tìm việc &amp; Thanh lọc đa tiêu chí</t>
        </is>
      </c>
    </row>
    <row r="71">
      <c r="A71" s="36" t="n">
        <v>38809</v>
      </c>
      <c r="B71" s="37" t="inlineStr">
        <is>
          <t>SV6: Xem việc làm theo vị trí bản đồ</t>
        </is>
      </c>
      <c r="C71" s="37" t="inlineStr">
        <is>
          <t>Tích hợp Mapbox/Google Maps hiển thị cụm vị trí việc làm và chỉ dẫn đường đi</t>
        </is>
      </c>
      <c r="D71" s="38" t="inlineStr">
        <is>
          <t>FO - FE</t>
        </is>
      </c>
      <c r="E71" s="38" t="inlineStr">
        <is>
          <t>Quang</t>
        </is>
      </c>
      <c r="F71" s="38" t="inlineStr">
        <is>
          <t>3 ngày</t>
        </is>
      </c>
      <c r="G71" s="39" t="n">
        <v>46302</v>
      </c>
      <c r="H71" s="39" t="n">
        <v>46304</v>
      </c>
      <c r="I71" s="36" t="n">
        <v>38778</v>
      </c>
      <c r="J71" s="40" t="n">
        <v>0</v>
      </c>
      <c r="K71" s="37" t="inlineStr">
        <is>
          <t>Tích hợp Mapbox/Google Maps vị trí việc làm</t>
        </is>
      </c>
    </row>
    <row r="72">
      <c r="A72" s="36" t="n">
        <v>39174</v>
      </c>
      <c r="B72" s="37" t="inlineStr">
        <is>
          <t>SV7: Nhận gợi ý việc làm phù hợp</t>
        </is>
      </c>
      <c r="C72" s="37" t="inlineStr">
        <is>
          <t>Phát triển component danh sách việc làm phù hợp trên trang chủ HS/SV</t>
        </is>
      </c>
      <c r="D72" s="38" t="inlineStr">
        <is>
          <t>FO - FE</t>
        </is>
      </c>
      <c r="E72" s="38" t="inlineStr">
        <is>
          <t>Kiên</t>
        </is>
      </c>
      <c r="F72" s="38" t="inlineStr">
        <is>
          <t>3 ngày</t>
        </is>
      </c>
      <c r="G72" s="39" t="n">
        <v>46304</v>
      </c>
      <c r="H72" s="39" t="n">
        <v>46306</v>
      </c>
      <c r="I72" s="36" t="n">
        <v>39143</v>
      </c>
      <c r="J72" s="40" t="n">
        <v>0</v>
      </c>
      <c r="K72" s="37" t="inlineStr">
        <is>
          <t>Component danh sách việc làm phù hợp trang chủ</t>
        </is>
      </c>
    </row>
    <row r="73">
      <c r="A73" s="36" t="n">
        <v>39540</v>
      </c>
      <c r="B73" s="37" t="inlineStr">
        <is>
          <t>SV8: Ứng tuyển công việc</t>
        </is>
      </c>
      <c r="C73" s="37" t="inlineStr">
        <is>
          <t>Phát triển giao diện nút ứng tuyển nhanh và modal nhập thư nguyện vọng ngắn</t>
        </is>
      </c>
      <c r="D73" s="38" t="inlineStr">
        <is>
          <t>FO - FE</t>
        </is>
      </c>
      <c r="E73" s="38" t="inlineStr">
        <is>
          <t>Kiên</t>
        </is>
      </c>
      <c r="F73" s="38" t="inlineStr">
        <is>
          <t>3 ngày</t>
        </is>
      </c>
      <c r="G73" s="39" t="n">
        <v>46306</v>
      </c>
      <c r="H73" s="39" t="n">
        <v>46308</v>
      </c>
      <c r="I73" s="36" t="n">
        <v>39509</v>
      </c>
      <c r="J73" s="40" t="n">
        <v>0</v>
      </c>
      <c r="K73" s="37" t="inlineStr">
        <is>
          <t>Giao diện nút ứng tuyển nhanh &amp; Modal nguyện vọng</t>
        </is>
      </c>
    </row>
    <row r="74">
      <c r="A74" s="36" t="n">
        <v>39905</v>
      </c>
      <c r="B74" s="37" t="inlineStr">
        <is>
          <t>SV9: Nhận lời mời ứng tuyển</t>
        </is>
      </c>
      <c r="C74" s="37" t="inlineStr">
        <is>
          <t>Phát triển giao diện danh sách lời mời việc làm và thao tác phản hồi nhanh</t>
        </is>
      </c>
      <c r="D74" s="38" t="inlineStr">
        <is>
          <t>FO - FE</t>
        </is>
      </c>
      <c r="E74" s="38" t="inlineStr">
        <is>
          <t>Việt</t>
        </is>
      </c>
      <c r="F74" s="38" t="inlineStr">
        <is>
          <t>2 ngày</t>
        </is>
      </c>
      <c r="G74" s="39" t="n">
        <v>46308</v>
      </c>
      <c r="H74" s="39" t="n">
        <v>46309</v>
      </c>
      <c r="I74" s="36" t="n">
        <v>39874</v>
      </c>
      <c r="J74" s="40" t="n">
        <v>0</v>
      </c>
      <c r="K74" s="37" t="inlineStr">
        <is>
          <t>Danh sách lời mời việc làm &amp; Phản hồi nhanh</t>
        </is>
      </c>
    </row>
    <row r="75">
      <c r="A75" s="36" t="n">
        <v>40270</v>
      </c>
      <c r="B75" s="37" t="inlineStr">
        <is>
          <t>SV10: Quản lý đơn ứng tuyển</t>
        </is>
      </c>
      <c r="C75" s="37" t="inlineStr">
        <is>
          <t>Phát triển giao diện quản lý đơn ứng tuyển, timeline trạng thái và nút rút đơn</t>
        </is>
      </c>
      <c r="D75" s="38" t="inlineStr">
        <is>
          <t>FO - FE</t>
        </is>
      </c>
      <c r="E75" s="38" t="inlineStr">
        <is>
          <t>Quang</t>
        </is>
      </c>
      <c r="F75" s="38" t="inlineStr">
        <is>
          <t>3 ngày</t>
        </is>
      </c>
      <c r="G75" s="39" t="n">
        <v>46309</v>
      </c>
      <c r="H75" s="39" t="n">
        <v>46311</v>
      </c>
      <c r="I75" s="36" t="n">
        <v>40239</v>
      </c>
      <c r="J75" s="40" t="n">
        <v>0</v>
      </c>
      <c r="K75" s="37" t="inlineStr">
        <is>
          <t>Giao diện quản lý đơn ứng tuyển &amp; Timeline</t>
        </is>
      </c>
    </row>
    <row r="76">
      <c r="A76" s="36" t="n">
        <v>40635</v>
      </c>
      <c r="B76" s="37" t="inlineStr">
        <is>
          <t>SV11: Quản lý Offer</t>
        </is>
      </c>
      <c r="C76" s="37" t="inlineStr">
        <is>
          <t>Phát triển giao diện xem chi tiết offer và popup xác nhận phản hồi nhận việc</t>
        </is>
      </c>
      <c r="D76" s="38" t="inlineStr">
        <is>
          <t>FO - FE</t>
        </is>
      </c>
      <c r="E76" s="38" t="inlineStr">
        <is>
          <t>Kiên</t>
        </is>
      </c>
      <c r="F76" s="38" t="inlineStr">
        <is>
          <t>3 ngày</t>
        </is>
      </c>
      <c r="G76" s="39" t="n">
        <v>46311</v>
      </c>
      <c r="H76" s="39" t="n">
        <v>46313</v>
      </c>
      <c r="I76" s="36" t="n">
        <v>40604</v>
      </c>
      <c r="J76" s="40" t="n">
        <v>0</v>
      </c>
      <c r="K76" s="37" t="inlineStr">
        <is>
          <t>Xem chi tiết offer &amp; Xác nhận nhận việc</t>
        </is>
      </c>
    </row>
    <row r="77">
      <c r="A77" s="36" t="n">
        <v>41001</v>
      </c>
      <c r="B77" s="37" t="inlineStr">
        <is>
          <t>SV12: Theo dõi &amp; Tham gia Phỏng vấn</t>
        </is>
      </c>
      <c r="C77" s="37" t="inlineStr">
        <is>
          <t>Phát triển giao diện lịch biểu phỏng vấn và tích hợp mở link phòng họp trực tuyến</t>
        </is>
      </c>
      <c r="D77" s="38" t="inlineStr">
        <is>
          <t>FO - FE</t>
        </is>
      </c>
      <c r="E77" s="38" t="inlineStr">
        <is>
          <t>Quang</t>
        </is>
      </c>
      <c r="F77" s="38" t="inlineStr">
        <is>
          <t>3 ngày</t>
        </is>
      </c>
      <c r="G77" s="39" t="n">
        <v>46313</v>
      </c>
      <c r="H77" s="39" t="n">
        <v>46315</v>
      </c>
      <c r="I77" s="36" t="n">
        <v>40970</v>
      </c>
      <c r="J77" s="40" t="n">
        <v>0</v>
      </c>
      <c r="K77" s="37" t="inlineStr">
        <is>
          <t>Lịch biểu phỏng vấn &amp; Mở link họp trực tuyến</t>
        </is>
      </c>
    </row>
    <row r="78">
      <c r="A78" s="36" t="n">
        <v>41366</v>
      </c>
      <c r="B78" s="37" t="inlineStr">
        <is>
          <t>SV13: Nhắn tin với Nhà tuyển dụng</t>
        </is>
      </c>
      <c r="C78" s="37" t="inlineStr">
        <is>
          <t>Phát triển giao diện hộp thoại chat với nhà tuyển dụng trên Kênh HS/SV</t>
        </is>
      </c>
      <c r="D78" s="38" t="inlineStr">
        <is>
          <t>FO - FE</t>
        </is>
      </c>
      <c r="E78" s="38" t="inlineStr">
        <is>
          <t>Kiên</t>
        </is>
      </c>
      <c r="F78" s="38" t="inlineStr">
        <is>
          <t>3 ngày</t>
        </is>
      </c>
      <c r="G78" s="39" t="n">
        <v>46315</v>
      </c>
      <c r="H78" s="39" t="n">
        <v>46317</v>
      </c>
      <c r="I78" s="36" t="n">
        <v>41335</v>
      </c>
      <c r="J78" s="40" t="n">
        <v>0</v>
      </c>
      <c r="K78" s="37" t="inlineStr">
        <is>
          <t>Hộp thoại chat với nhà tuyển dụng HS/SV</t>
        </is>
      </c>
    </row>
    <row r="79">
      <c r="A79" s="62" t="n"/>
      <c r="B79" s="66" t="n"/>
      <c r="C79" s="66" t="n"/>
      <c r="D79" s="62" t="n"/>
      <c r="E79" s="62" t="n"/>
      <c r="F79" s="62" t="n"/>
      <c r="G79" s="63" t="n"/>
      <c r="H79" s="63" t="n"/>
      <c r="I79" s="67" t="n"/>
      <c r="J79" s="65" t="n"/>
      <c r="K79" s="66" t="n"/>
    </row>
    <row r="80">
      <c r="A80" s="62" t="n"/>
      <c r="B80" s="66" t="n"/>
      <c r="C80" s="66" t="n"/>
      <c r="D80" s="62" t="n"/>
      <c r="E80" s="62" t="n"/>
      <c r="F80" s="62" t="n"/>
      <c r="G80" s="63" t="n"/>
      <c r="H80" s="63" t="n"/>
      <c r="I80" s="67" t="n"/>
      <c r="J80" s="65" t="n"/>
      <c r="K80" s="66" t="n"/>
    </row>
    <row r="81">
      <c r="A81" s="62" t="n"/>
      <c r="B81" s="66" t="n"/>
      <c r="C81" s="66" t="n"/>
      <c r="D81" s="62" t="n"/>
      <c r="E81" s="62" t="n"/>
      <c r="F81" s="62" t="n"/>
      <c r="G81" s="63" t="n"/>
      <c r="H81" s="63" t="n"/>
      <c r="I81" s="67" t="n"/>
      <c r="J81" s="65" t="n"/>
      <c r="K81" s="66" t="n"/>
    </row>
  </sheetData>
  <mergeCells count="11">
    <mergeCell ref="A2:B2"/>
    <mergeCell ref="I2:K2"/>
    <mergeCell ref="C2:D2"/>
    <mergeCell ref="G2:H2"/>
    <mergeCell ref="E2:F2"/>
    <mergeCell ref="A1:K1"/>
    <mergeCell ref="I3:K3"/>
    <mergeCell ref="C3:D3"/>
    <mergeCell ref="A3:B3"/>
    <mergeCell ref="G3:H3"/>
    <mergeCell ref="E3:F3"/>
  </mergeCells>
  <conditionalFormatting sqref="A5:J81">
    <cfRule type="cellIs" priority="1" operator="equal" dxfId="5" stopIfTrue="1">
      <formula>"Nhóm tính năng"</formula>
    </cfRule>
  </conditionalFormatting>
  <conditionalFormatting sqref="D5:D81">
    <cfRule type="cellIs" priority="2" operator="equal" dxfId="6" stopIfTrue="1">
      <formula>"BA"</formula>
    </cfRule>
    <cfRule type="cellIs" priority="3" operator="equal" dxfId="7" stopIfTrue="1">
      <formula>"UI/UX"</formula>
    </cfRule>
    <cfRule type="containsText" priority="4" operator="containsText" dxfId="8" stopIfTrue="1" text="FO">
      <formula>NOT(ISERROR(SEARCH(("FO"),(D5))))</formula>
    </cfRule>
    <cfRule type="containsText" priority="5" operator="containsText" dxfId="9" stopIfTrue="1" text="BO">
      <formula>NOT(ISERROR(SEARCH(("BO"),(D5))))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5" customWidth="1" style="80" min="1" max="1"/>
    <col width="20.5" customWidth="1" style="80" min="2" max="2"/>
    <col width="16.5" customWidth="1" style="80" min="3" max="3"/>
    <col width="16.75" customWidth="1" style="80" min="8" max="8"/>
  </cols>
  <sheetData>
    <row r="1" ht="22.5" customHeight="1" s="80">
      <c r="A1" s="7" t="inlineStr">
        <is>
          <t>Nhân sự</t>
        </is>
      </c>
      <c r="B1" s="7" t="inlineStr">
        <is>
          <t>Số lượng task</t>
        </is>
      </c>
      <c r="C1" s="7" t="inlineStr">
        <is>
          <t>Tỷ lệ (%)</t>
        </is>
      </c>
    </row>
    <row r="2" ht="22.5" customHeight="1" s="80">
      <c r="A2" s="11" t="inlineStr">
        <is>
          <t>Việt</t>
        </is>
      </c>
      <c r="B2" s="11" t="n">
        <v>43</v>
      </c>
      <c r="C2" s="25" t="n">
        <v>0.291</v>
      </c>
    </row>
    <row r="3" ht="22.5" customHeight="1" s="80">
      <c r="A3" s="11" t="inlineStr">
        <is>
          <t>Ngân</t>
        </is>
      </c>
      <c r="B3" s="11" t="n">
        <v>38</v>
      </c>
      <c r="C3" s="25" t="n">
        <v>0.257</v>
      </c>
    </row>
    <row r="4" ht="22.5" customHeight="1" s="80">
      <c r="A4" s="11" t="inlineStr">
        <is>
          <t>Quang</t>
        </is>
      </c>
      <c r="B4" s="11" t="n">
        <v>26</v>
      </c>
      <c r="C4" s="25" t="n">
        <v>0.176</v>
      </c>
      <c r="D4" s="17" t="n"/>
      <c r="E4" s="17" t="n"/>
      <c r="F4" s="17" t="n"/>
      <c r="G4" s="17" t="n"/>
      <c r="H4" s="17" t="n"/>
      <c r="I4" s="17" t="n"/>
    </row>
    <row r="5" ht="22.5" customHeight="1" s="80">
      <c r="A5" s="11" t="inlineStr">
        <is>
          <t>Kiên</t>
        </is>
      </c>
      <c r="B5" s="11" t="n">
        <v>22</v>
      </c>
      <c r="C5" s="25" t="n">
        <v>0.149</v>
      </c>
      <c r="G5" s="21" t="n"/>
    </row>
    <row r="6" ht="22.5" customHeight="1" s="80">
      <c r="A6" s="11" t="inlineStr">
        <is>
          <t>Nghĩa</t>
        </is>
      </c>
      <c r="B6" s="11" t="n">
        <v>19</v>
      </c>
      <c r="C6" s="25" t="n">
        <v>0.128</v>
      </c>
      <c r="G6" s="21" t="n"/>
    </row>
    <row r="7" ht="22.5" customHeight="1" s="80">
      <c r="A7" s="11" t="inlineStr">
        <is>
          <t>Tổng cộng</t>
        </is>
      </c>
      <c r="B7" s="11" t="n">
        <v>148</v>
      </c>
      <c r="C7" s="25" t="n">
        <v>1</v>
      </c>
      <c r="G7" s="21" t="n"/>
    </row>
    <row r="8">
      <c r="G8" s="21" t="n"/>
    </row>
    <row r="9">
      <c r="G9" s="21" t="n"/>
    </row>
    <row r="10">
      <c r="G10" s="21" t="n"/>
    </row>
    <row r="11">
      <c r="G11" s="21" t="n"/>
    </row>
    <row r="12">
      <c r="G12" s="21" t="n"/>
    </row>
    <row r="13">
      <c r="G13" s="21" t="n"/>
    </row>
    <row r="14">
      <c r="G14" s="21" t="n"/>
    </row>
    <row r="15">
      <c r="G15" s="21" t="n"/>
    </row>
    <row r="16">
      <c r="G16" s="21" t="n"/>
    </row>
    <row r="17">
      <c r="G17" s="21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A35" s="2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2026-09-27T04:21:44Z</dcterms:created>
  <dcterms:modified xmlns:dcterms="http://purl.org/dc/terms/" xmlns:xsi="http://www.w3.org/2001/XMLSchema-instance" xsi:type="dcterms:W3CDTF">2026-09-27T04:21:56Z</dcterms:modified>
</cp:coreProperties>
</file>